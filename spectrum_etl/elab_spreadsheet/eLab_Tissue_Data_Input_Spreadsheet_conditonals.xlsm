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 codeName="{12690826-C4DC-F77A-389B-7475C5824B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D52C965F-8B09-214A-A5AD-DFDF8AF3E116}" xr6:coauthVersionLast="45" xr6:coauthVersionMax="45" xr10:uidLastSave="{00000000-0000-0000-0000-000000000000}"/>
  <workbookProtection lockStructure="1"/>
  <bookViews>
    <workbookView xWindow="0" yWindow="460" windowWidth="28800" windowHeight="15940" xr2:uid="{00000000-000D-0000-FFFF-FFFF00000000}"/>
  </bookViews>
  <sheets>
    <sheet name="Main Database" sheetId="1" r:id="rId1"/>
    <sheet name="Validations" sheetId="2" r:id="rId2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D7" i="1" l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F99" i="1"/>
  <c r="AF98" i="1"/>
  <c r="AF97" i="1"/>
  <c r="AF96" i="1"/>
  <c r="AF95" i="1"/>
  <c r="AF94" i="1"/>
  <c r="AF93" i="1"/>
  <c r="AF92" i="1"/>
  <c r="AF91" i="1"/>
  <c r="AF90" i="1"/>
  <c r="AF89" i="1"/>
  <c r="AF88" i="1"/>
  <c r="AF87" i="1"/>
  <c r="AF86" i="1"/>
  <c r="AF85" i="1"/>
  <c r="AF84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F9" i="1"/>
  <c r="AF8" i="1"/>
  <c r="AF7" i="1"/>
  <c r="AF6" i="1"/>
  <c r="AI6" i="1"/>
  <c r="AG6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I16" i="1"/>
  <c r="AG17" i="1"/>
  <c r="AI17" i="1"/>
  <c r="AG18" i="1"/>
  <c r="AI18" i="1"/>
  <c r="AG19" i="1"/>
  <c r="AI19" i="1"/>
  <c r="AG20" i="1"/>
  <c r="AI20" i="1"/>
  <c r="AG21" i="1"/>
  <c r="AI21" i="1"/>
  <c r="AG22" i="1"/>
  <c r="AI22" i="1"/>
  <c r="AG23" i="1"/>
  <c r="AI23" i="1"/>
  <c r="AG24" i="1"/>
  <c r="AI24" i="1"/>
  <c r="AG25" i="1"/>
  <c r="AI25" i="1"/>
  <c r="AG26" i="1"/>
  <c r="AI26" i="1"/>
  <c r="AG27" i="1"/>
  <c r="AI27" i="1"/>
  <c r="AG28" i="1"/>
  <c r="AI28" i="1"/>
  <c r="AG29" i="1"/>
  <c r="AI29" i="1"/>
  <c r="AG30" i="1"/>
  <c r="AI30" i="1"/>
  <c r="AG31" i="1"/>
  <c r="AI31" i="1"/>
  <c r="AG32" i="1"/>
  <c r="AI32" i="1"/>
  <c r="AG33" i="1"/>
  <c r="AI33" i="1"/>
  <c r="AG34" i="1"/>
  <c r="AI34" i="1"/>
  <c r="AG35" i="1"/>
  <c r="AI35" i="1"/>
  <c r="AG36" i="1"/>
  <c r="AI36" i="1"/>
  <c r="AG37" i="1"/>
  <c r="AI37" i="1"/>
  <c r="AG38" i="1"/>
  <c r="AI38" i="1"/>
  <c r="AG39" i="1"/>
  <c r="AI39" i="1"/>
  <c r="AG40" i="1"/>
  <c r="AI40" i="1"/>
  <c r="AG41" i="1"/>
  <c r="AI41" i="1"/>
  <c r="AG42" i="1"/>
  <c r="AI42" i="1"/>
  <c r="AG43" i="1"/>
  <c r="AI43" i="1"/>
  <c r="AG44" i="1"/>
  <c r="AI44" i="1"/>
  <c r="AG45" i="1"/>
  <c r="AI45" i="1"/>
  <c r="AG46" i="1"/>
  <c r="AI46" i="1"/>
  <c r="AG47" i="1"/>
  <c r="AI47" i="1"/>
  <c r="AG48" i="1"/>
  <c r="AI48" i="1"/>
  <c r="AG49" i="1"/>
  <c r="AI49" i="1"/>
  <c r="AG50" i="1"/>
  <c r="AI50" i="1"/>
  <c r="AG51" i="1"/>
  <c r="AI51" i="1"/>
  <c r="AG52" i="1"/>
  <c r="AI52" i="1"/>
  <c r="AG53" i="1"/>
  <c r="AI53" i="1"/>
  <c r="AG54" i="1"/>
  <c r="AI54" i="1"/>
  <c r="AG55" i="1"/>
  <c r="AI55" i="1"/>
  <c r="AG56" i="1"/>
  <c r="AI56" i="1"/>
  <c r="AG57" i="1"/>
  <c r="AI57" i="1"/>
  <c r="AG58" i="1"/>
  <c r="AI58" i="1"/>
  <c r="AG59" i="1"/>
  <c r="AI59" i="1"/>
  <c r="AG60" i="1"/>
  <c r="AI60" i="1"/>
  <c r="AG61" i="1"/>
  <c r="AI61" i="1"/>
  <c r="AG62" i="1"/>
  <c r="AI62" i="1"/>
  <c r="AG63" i="1"/>
  <c r="AI63" i="1"/>
  <c r="AG64" i="1"/>
  <c r="AI64" i="1"/>
  <c r="AG65" i="1"/>
  <c r="AI65" i="1"/>
  <c r="AG66" i="1"/>
  <c r="AI66" i="1"/>
  <c r="AG67" i="1"/>
  <c r="AI67" i="1"/>
  <c r="AG68" i="1"/>
  <c r="AI68" i="1"/>
  <c r="AG69" i="1"/>
  <c r="AI69" i="1"/>
  <c r="AG70" i="1"/>
  <c r="AI70" i="1"/>
  <c r="AG71" i="1"/>
  <c r="AI71" i="1"/>
  <c r="AG72" i="1"/>
  <c r="AI72" i="1"/>
  <c r="AG73" i="1"/>
  <c r="AI73" i="1"/>
  <c r="AG74" i="1"/>
  <c r="AI74" i="1"/>
  <c r="AG75" i="1"/>
  <c r="AI75" i="1"/>
  <c r="AG76" i="1"/>
  <c r="AI76" i="1"/>
  <c r="AG77" i="1"/>
  <c r="AI77" i="1"/>
  <c r="AG78" i="1"/>
  <c r="AI78" i="1"/>
  <c r="AG79" i="1"/>
  <c r="AI79" i="1"/>
  <c r="AG80" i="1"/>
  <c r="AI80" i="1"/>
  <c r="AG81" i="1"/>
  <c r="AI81" i="1"/>
  <c r="AG82" i="1"/>
  <c r="AI82" i="1"/>
  <c r="AG83" i="1"/>
  <c r="AI83" i="1"/>
  <c r="AG84" i="1"/>
  <c r="AI84" i="1"/>
  <c r="AG85" i="1"/>
  <c r="AI85" i="1"/>
  <c r="AG86" i="1"/>
  <c r="AI86" i="1"/>
  <c r="AG87" i="1"/>
  <c r="AI87" i="1"/>
  <c r="AG88" i="1"/>
  <c r="AI88" i="1"/>
  <c r="AG89" i="1"/>
  <c r="AI89" i="1"/>
  <c r="AG90" i="1"/>
  <c r="AI90" i="1"/>
  <c r="AG91" i="1"/>
  <c r="AI91" i="1"/>
  <c r="AG92" i="1"/>
  <c r="AI92" i="1"/>
  <c r="AG93" i="1"/>
  <c r="AI93" i="1"/>
  <c r="AG94" i="1"/>
  <c r="AI94" i="1"/>
  <c r="AG95" i="1"/>
  <c r="AI95" i="1"/>
  <c r="AG96" i="1"/>
  <c r="AI96" i="1"/>
  <c r="AG97" i="1"/>
  <c r="AI97" i="1"/>
  <c r="AG98" i="1"/>
  <c r="AI98" i="1"/>
  <c r="AG99" i="1"/>
  <c r="AI99" i="1"/>
  <c r="AG100" i="1"/>
  <c r="AI100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I7" i="1"/>
  <c r="AI8" i="1"/>
  <c r="AI9" i="1"/>
  <c r="AI10" i="1"/>
  <c r="AI11" i="1"/>
  <c r="AI12" i="1"/>
  <c r="AI13" i="1"/>
  <c r="AI14" i="1"/>
  <c r="AI15" i="1"/>
  <c r="AG8" i="1"/>
  <c r="AG9" i="1"/>
  <c r="AG10" i="1"/>
  <c r="AG11" i="1"/>
  <c r="AG12" i="1"/>
  <c r="AG13" i="1"/>
  <c r="AG14" i="1"/>
  <c r="AG15" i="1"/>
  <c r="AG7" i="1"/>
  <c r="P15" i="1"/>
  <c r="P14" i="1"/>
  <c r="P13" i="1"/>
  <c r="P12" i="1"/>
  <c r="P11" i="1"/>
  <c r="P10" i="1"/>
  <c r="P9" i="1"/>
  <c r="P8" i="1"/>
  <c r="P7" i="1"/>
  <c r="F6" i="1"/>
  <c r="A15" i="1"/>
  <c r="A14" i="1"/>
  <c r="J6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</calcChain>
</file>

<file path=xl/sharedStrings.xml><?xml version="1.0" encoding="utf-8"?>
<sst xmlns="http://schemas.openxmlformats.org/spreadsheetml/2006/main" count="329" uniqueCount="287">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</sst>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208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39"/>
  <sheetViews>
    <sheetView tabSelected="1" topLeftCell="AZ1" zoomScaleNormal="100" workbookViewId="0">
      <pane ySplit="4" topLeftCell="A6" activePane="bottomLeft" state="frozen"/>
      <selection activeCell="P1" sqref="P1"/>
      <selection pane="bottomLeft" activeCell="BG23" sqref="BG23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customWidth="1"/>
    <col min="15" max="15" width="18.1640625" style="2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customWidth="1"/>
    <col min="22" max="22" width="21.83203125" style="2" customWidth="1"/>
    <col min="23" max="23" width="16.33203125" style="2" customWidth="1"/>
    <col min="24" max="24" width="11.1640625" style="2" customWidth="1"/>
    <col min="25" max="25" width="21.83203125" style="2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23.83203125" style="25" customWidth="1"/>
    <col min="35" max="35" width="16.6640625" style="2" customWidth="1"/>
    <col min="36" max="36" width="12.5" style="2" customWidth="1"/>
    <col min="37" max="37" width="22.6640625" style="2" customWidth="1"/>
    <col min="38" max="38" width="19.5" style="2" customWidth="1"/>
    <col min="39" max="39" width="19" style="2" customWidth="1"/>
    <col min="40" max="41" width="25.33203125" style="2" customWidth="1"/>
    <col min="42" max="42" width="9.6640625" style="2" customWidth="1"/>
    <col min="43" max="43" width="17.1640625" style="2" customWidth="1"/>
    <col min="44" max="44" width="19" style="2" customWidth="1"/>
    <col min="45" max="45" width="15.33203125" style="2" customWidth="1"/>
    <col min="46" max="46" width="26.83203125" style="2" customWidth="1"/>
    <col min="47" max="47" width="23.1640625" style="2" customWidth="1"/>
    <col min="48" max="48" width="14" style="2" customWidth="1"/>
    <col min="49" max="50" width="14.5" style="29" customWidth="1"/>
    <col min="51" max="51" width="27" style="2" customWidth="1"/>
    <col min="52" max="52" width="21.1640625" style="2" customWidth="1"/>
    <col min="53" max="53" width="18.83203125" style="2" customWidth="1"/>
    <col min="54" max="54" width="10.83203125" style="2" customWidth="1"/>
    <col min="55" max="55" width="22.1640625" style="2" customWidth="1"/>
    <col min="56" max="56" width="22.83203125" style="2" customWidth="1"/>
    <col min="57" max="57" width="10.83203125" style="2" customWidth="1"/>
    <col min="58" max="58" width="21.5" style="2" customWidth="1"/>
    <col min="59" max="59" width="18.33203125" style="2" customWidth="1"/>
    <col min="60" max="60" width="18.33203125" style="34" customWidth="1"/>
    <col min="61" max="61" width="17.83203125" style="2" customWidth="1"/>
    <col min="62" max="63" width="24.1640625" style="2" customWidth="1"/>
    <col min="64" max="64" width="22.1640625" style="2" customWidth="1"/>
    <col min="65" max="65" width="16.6640625" style="2" customWidth="1"/>
    <col min="66" max="66" width="7.6640625" style="2" customWidth="1"/>
    <col min="67" max="67" width="18.5" style="2" customWidth="1"/>
    <col min="68" max="68" width="21.5" style="2" customWidth="1"/>
    <col min="69" max="69" width="22.6640625" style="2" customWidth="1"/>
    <col min="70" max="70" width="10.83203125" style="2" customWidth="1"/>
    <col min="71" max="71" width="20.6640625" style="2" customWidth="1"/>
    <col min="72" max="72" width="22.33203125" style="2" customWidth="1"/>
    <col min="73" max="73" width="21.83203125" style="2" customWidth="1"/>
    <col min="74" max="74" width="28.1640625" style="2" customWidth="1"/>
    <col min="75" max="75" width="28.83203125" style="2" customWidth="1"/>
    <col min="76" max="76" width="18.83203125" style="2" customWidth="1"/>
    <col min="77" max="77" width="15.5" style="2" customWidth="1"/>
    <col min="78" max="78" width="15.33203125" style="2" customWidth="1"/>
    <col min="79" max="79" width="25.1640625" style="2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35" t="s">
        <v>41</v>
      </c>
      <c r="B3" s="35"/>
      <c r="C3" s="35"/>
      <c r="D3" s="35"/>
      <c r="E3" s="35"/>
      <c r="F3" s="35" t="s">
        <v>42</v>
      </c>
      <c r="G3" s="35"/>
      <c r="H3" s="35"/>
      <c r="I3" s="35"/>
      <c r="J3" s="35"/>
      <c r="K3" s="35"/>
      <c r="L3" s="13" t="s">
        <v>43</v>
      </c>
      <c r="M3" s="35" t="s">
        <v>44</v>
      </c>
      <c r="N3" s="35"/>
      <c r="O3" s="7"/>
      <c r="P3" s="35" t="s">
        <v>45</v>
      </c>
      <c r="Q3" s="35"/>
      <c r="R3" s="35"/>
      <c r="S3" s="35"/>
      <c r="T3" s="35"/>
      <c r="U3" s="35" t="s">
        <v>46</v>
      </c>
      <c r="V3" s="35"/>
      <c r="W3" s="35"/>
      <c r="X3" s="35"/>
      <c r="Y3" s="35"/>
      <c r="Z3" s="6" t="s">
        <v>47</v>
      </c>
      <c r="AA3" s="35" t="s">
        <v>48</v>
      </c>
      <c r="AB3" s="35"/>
      <c r="AC3" s="35"/>
      <c r="AD3" s="35" t="s">
        <v>264</v>
      </c>
      <c r="AE3" s="36"/>
      <c r="AF3" s="35" t="s">
        <v>265</v>
      </c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5" t="s">
        <v>49</v>
      </c>
      <c r="AR3" s="35"/>
      <c r="AS3" s="35"/>
      <c r="AT3" s="35"/>
      <c r="AU3" s="35" t="s">
        <v>50</v>
      </c>
      <c r="AV3" s="35"/>
      <c r="AW3" s="28"/>
      <c r="AX3" s="28" t="s">
        <v>266</v>
      </c>
      <c r="AY3" s="35" t="s">
        <v>51</v>
      </c>
      <c r="AZ3" s="35"/>
      <c r="BA3" s="35" t="s">
        <v>52</v>
      </c>
      <c r="BB3" s="35"/>
      <c r="BC3" s="35" t="s">
        <v>215</v>
      </c>
      <c r="BD3" s="36"/>
      <c r="BE3" s="36"/>
      <c r="BF3" s="36"/>
      <c r="BG3" s="36"/>
      <c r="BH3" s="36"/>
      <c r="BI3" s="36"/>
      <c r="BJ3" s="36"/>
      <c r="BK3" s="36"/>
      <c r="BL3" s="35" t="s">
        <v>53</v>
      </c>
      <c r="BM3" s="35"/>
      <c r="BN3" s="35"/>
      <c r="BO3" s="6" t="s">
        <v>267</v>
      </c>
      <c r="BP3" s="35" t="s">
        <v>270</v>
      </c>
      <c r="BQ3" s="36"/>
      <c r="BR3" s="35" t="s">
        <v>275</v>
      </c>
      <c r="BS3" s="36"/>
      <c r="BT3" s="36"/>
      <c r="BU3" s="36"/>
      <c r="BV3" s="36"/>
      <c r="BW3" s="36"/>
      <c r="BX3" s="35" t="s">
        <v>280</v>
      </c>
      <c r="BY3" s="36"/>
      <c r="BZ3" s="36"/>
      <c r="CA3" s="36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>SPECTRUM-OV-001</v>
      </c>
      <c r="B6" s="23"/>
      <c r="C6" s="9"/>
      <c r="D6" s="2" t="s">
        <v>54</v>
      </c>
      <c r="E6" s="33"/>
      <c r="F6" s="8" t="str">
        <f>IF(OR($G6="Primary Debulking", $G6="Laparoscopic Biopsy"), "0", IF($G6="Interval Debulking", "1", ""))</f>
        <v/>
      </c>
      <c r="H6" s="12"/>
      <c r="J6" s="8" t="str">
        <f>IF($D6="", "", "Main")</f>
        <v>Main</v>
      </c>
      <c r="M6" s="14"/>
      <c r="N6" s="8"/>
      <c r="O6" s="12"/>
      <c r="P6" s="17" t="str">
        <f ca="1">IF($H6="", "", INDIRECT("$H6"))</f>
        <v/>
      </c>
      <c r="T6" s="18" t="s">
        <v>187</v>
      </c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 t="s">
        <v>286</v>
      </c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 t="s">
        <v>187</v>
      </c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 t="s">
        <v>286</v>
      </c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 t="s">
        <v>186</v>
      </c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 t="s">
        <v>190</v>
      </c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 t="s">
        <v>188</v>
      </c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 t="str">
        <f t="shared" si="7"/>
        <v/>
      </c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 t="str">
        <f t="shared" si="8"/>
        <v/>
      </c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103" priority="57">
      <formula>$L6="Yes"</formula>
    </cfRule>
  </conditionalFormatting>
  <conditionalFormatting sqref="A6:A100">
    <cfRule type="containsBlanks" dxfId="102" priority="56">
      <formula>LEN(TRIM(A6))=0</formula>
    </cfRule>
  </conditionalFormatting>
  <conditionalFormatting sqref="M6 M39:M100">
    <cfRule type="expression" dxfId="101" priority="55">
      <formula>$L6="Yes"</formula>
    </cfRule>
  </conditionalFormatting>
  <conditionalFormatting sqref="U6:V100 X6:Y100">
    <cfRule type="expression" dxfId="100" priority="54">
      <formula>$T6="Single Cell Suspension"</formula>
    </cfRule>
  </conditionalFormatting>
  <conditionalFormatting sqref="Z6:AE100">
    <cfRule type="expression" dxfId="99" priority="61">
      <formula>$Y6="Unsorted Single Cell Sequencing"</formula>
    </cfRule>
  </conditionalFormatting>
  <conditionalFormatting sqref="AD6:AE100">
    <cfRule type="expression" dxfId="98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97" priority="62">
      <formula>$Y6="Storage Only"</formula>
    </cfRule>
  </conditionalFormatting>
  <conditionalFormatting sqref="BA6:BC100">
    <cfRule type="expression" dxfId="96" priority="45">
      <formula>#REF!="No"</formula>
    </cfRule>
  </conditionalFormatting>
  <conditionalFormatting sqref="AJ6:AP100">
    <cfRule type="notContainsBlanks" dxfId="95" priority="31">
      <formula>LEN(TRIM(AJ6))&gt;0</formula>
    </cfRule>
    <cfRule type="expression" dxfId="94" priority="32">
      <formula>$Y6="Sorted Single Cell Sequencing"</formula>
    </cfRule>
    <cfRule type="expression" dxfId="93" priority="33">
      <formula>$Y6="Unsorted Single Cell Sequencing"</formula>
    </cfRule>
  </conditionalFormatting>
  <conditionalFormatting sqref="X6:Y100 AU8:AX100 AU7:AW7 AU6:AX6">
    <cfRule type="notContainsBlanks" dxfId="92" priority="2">
      <formula>LEN(TRIM(X6))&gt;0</formula>
    </cfRule>
  </conditionalFormatting>
  <conditionalFormatting sqref="AQ6:AT100">
    <cfRule type="notContainsBlanks" dxfId="91" priority="1">
      <formula>LEN(TRIM(AQ6))&gt;0</formula>
    </cfRule>
    <cfRule type="expression" dxfId="90" priority="37">
      <formula>$T6="Frozen Tissue"</formula>
    </cfRule>
    <cfRule type="expression" dxfId="89" priority="46">
      <formula>$T6="FFPE Block"</formula>
    </cfRule>
  </conditionalFormatting>
  <conditionalFormatting sqref="U6:V100">
    <cfRule type="notContainsBlanks" dxfId="88" priority="23">
      <formula>LEN(TRIM(U6))&gt;0</formula>
    </cfRule>
    <cfRule type="notContainsBlanks" dxfId="87" priority="91">
      <formula>LEN(TRIM(U6))&gt;0</formula>
    </cfRule>
    <cfRule type="expression" dxfId="86" priority="92">
      <formula>$T6="Single Cell Suspension"</formula>
    </cfRule>
  </conditionalFormatting>
  <conditionalFormatting sqref="AU8:BC100 AU6:AW7 AY6:BK6 AY7:BC7 BD7:BK100">
    <cfRule type="expression" dxfId="85" priority="44">
      <formula>$AT6="IF"</formula>
    </cfRule>
  </conditionalFormatting>
  <conditionalFormatting sqref="AY6:AZ100">
    <cfRule type="expression" dxfId="84" priority="42">
      <formula>$AW6="Curls"</formula>
    </cfRule>
  </conditionalFormatting>
  <conditionalFormatting sqref="AU8:BC100 AU6:AW7 AY6:BN6 AY7:BC7 BD7:BN100">
    <cfRule type="expression" dxfId="83" priority="63">
      <formula>$AT6="Storage Only"</formula>
    </cfRule>
  </conditionalFormatting>
  <conditionalFormatting sqref="AY6:BC100">
    <cfRule type="notContainsBlanks" dxfId="82" priority="15">
      <formula>LEN(TRIM(AY6))&gt;0</formula>
    </cfRule>
    <cfRule type="expression" dxfId="81" priority="41">
      <formula>$AW6="Microdissect"</formula>
    </cfRule>
  </conditionalFormatting>
  <conditionalFormatting sqref="BL6:BN100">
    <cfRule type="notContainsBlanks" dxfId="80" priority="16">
      <formula>LEN(TRIM(BL6))&gt;0</formula>
    </cfRule>
    <cfRule type="expression" dxfId="79" priority="19">
      <formula>$AT6="IF"</formula>
    </cfRule>
    <cfRule type="expression" dxfId="78" priority="34">
      <formula>$AT6="WGS Bulk"</formula>
    </cfRule>
  </conditionalFormatting>
  <conditionalFormatting sqref="O6:O100">
    <cfRule type="expression" dxfId="77" priority="25">
      <formula>$L6="No"</formula>
    </cfRule>
  </conditionalFormatting>
  <conditionalFormatting sqref="BE6:BK100">
    <cfRule type="notContainsBlanks" dxfId="76" priority="36">
      <formula>LEN(TRIM(BE6))&gt;0</formula>
    </cfRule>
    <cfRule type="expression" dxfId="75" priority="38">
      <formula>$BD6="IGO"</formula>
    </cfRule>
    <cfRule type="expression" dxfId="52" priority="40">
      <formula>$BC6=""</formula>
    </cfRule>
  </conditionalFormatting>
  <conditionalFormatting sqref="Z6:AE100">
    <cfRule type="notContainsBlanks" dxfId="74" priority="48">
      <formula>LEN(TRIM(Z6))&gt;0</formula>
    </cfRule>
    <cfRule type="expression" dxfId="73" priority="49">
      <formula>$Y6="Sorted Single Cell Sequencing"</formula>
    </cfRule>
  </conditionalFormatting>
  <conditionalFormatting sqref="AU6:BC100">
    <cfRule type="expression" dxfId="72" priority="43">
      <formula>$T6="FFPE Block"</formula>
    </cfRule>
  </conditionalFormatting>
  <conditionalFormatting sqref="AG6:AP100 U6:AE100">
    <cfRule type="expression" dxfId="71" priority="24">
      <formula>$T6="Frozen Tissue"</formula>
    </cfRule>
    <cfRule type="expression" dxfId="70" priority="28">
      <formula>$T6="FFPE Block"</formula>
    </cfRule>
  </conditionalFormatting>
  <conditionalFormatting sqref="BP6:BW100">
    <cfRule type="notContainsBlanks" dxfId="69" priority="13">
      <formula>LEN(TRIM(BP6))&gt;0</formula>
    </cfRule>
    <cfRule type="expression" dxfId="68" priority="14">
      <formula>$AE6 = "DLP"</formula>
    </cfRule>
  </conditionalFormatting>
  <conditionalFormatting sqref="BO6:BO100">
    <cfRule type="notContainsBlanks" dxfId="67" priority="6">
      <formula>LEN(TRIM(BO6))&gt;0</formula>
    </cfRule>
    <cfRule type="expression" dxfId="66" priority="7">
      <formula>AT6 = "Storage Only"</formula>
    </cfRule>
    <cfRule type="expression" dxfId="65" priority="12">
      <formula>$Y6 = "Storage Only"</formula>
    </cfRule>
  </conditionalFormatting>
  <conditionalFormatting sqref="AH6:AH100">
    <cfRule type="notContainsBlanks" dxfId="64" priority="10">
      <formula>LEN(TRIM(AH6))&gt;0</formula>
    </cfRule>
    <cfRule type="expression" dxfId="63" priority="11">
      <formula>$AE6 = "scRNA Sequencing"</formula>
    </cfRule>
  </conditionalFormatting>
  <conditionalFormatting sqref="M7:M11">
    <cfRule type="expression" dxfId="62" priority="5">
      <formula>$L7="Yes"</formula>
    </cfRule>
  </conditionalFormatting>
  <conditionalFormatting sqref="M12:M38">
    <cfRule type="expression" dxfId="61" priority="4">
      <formula>$L12="Yes"</formula>
    </cfRule>
  </conditionalFormatting>
  <conditionalFormatting sqref="AU6:AW100">
    <cfRule type="expression" dxfId="60" priority="47">
      <formula>$AT6="WGS Bulk Tumour"</formula>
    </cfRule>
  </conditionalFormatting>
  <conditionalFormatting sqref="AX6:AX100">
    <cfRule type="expression" dxfId="59" priority="27">
      <formula>$AW6="Microdissect"</formula>
    </cfRule>
  </conditionalFormatting>
  <conditionalFormatting sqref="AX6">
    <cfRule type="expression" dxfId="58" priority="94">
      <formula>$Y7="Storage Only"</formula>
    </cfRule>
  </conditionalFormatting>
  <conditionalFormatting sqref="AX6">
    <cfRule type="expression" dxfId="57" priority="96">
      <formula>$AT7="IF"</formula>
    </cfRule>
  </conditionalFormatting>
  <conditionalFormatting sqref="AX6">
    <cfRule type="expression" dxfId="56" priority="98">
      <formula>$AT7="Storage Only"</formula>
    </cfRule>
  </conditionalFormatting>
  <conditionalFormatting sqref="AX6">
    <cfRule type="expression" dxfId="55" priority="102">
      <formula>$T7="Single Cell Suspension"</formula>
    </cfRule>
  </conditionalFormatting>
  <conditionalFormatting sqref="AX6:AX100 BA6 BA6:BC100">
    <cfRule type="expression" dxfId="54" priority="18">
      <formula>$AW6="Curls"</formula>
    </cfRule>
  </conditionalFormatting>
  <conditionalFormatting sqref="AQ6:BC100">
    <cfRule type="expression" dxfId="53" priority="22">
      <formula>$T6="Single Cell Suspensions"</formula>
    </cfRule>
  </conditionalFormatting>
  <dataValidations count="5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  <dataValidation type="list" allowBlank="1" showInputMessage="1" showErrorMessage="1" sqref="AW56:AW65 AW81:AW90 AW31:AW40" xr:uid="{232D3560-5576-9743-8C39-488BDFB97DCB}">
      <formula1>$V$3:$V$5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L1" workbookViewId="0">
      <selection activeCell="Z2" sqref="Z2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2020-04-21T23:31:35Z</dcterms:modified>
</cp:coreProperties>
</file>