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2270AACE-E29A-9F4D-ACD2-ADFE4A1D2022}" xr6:coauthVersionLast="45" xr6:coauthVersionMax="45" xr10:uidLastSave="{00000000-0000-0000-0000-000000000000}"/>
  <workbookProtection lockStructure="1"/>
  <bookViews>
    <workbookView xWindow="0" yWindow="46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8" i="1" l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BE39" i="1"/>
  <c r="F40" i="1"/>
  <c r="J40" i="1"/>
  <c r="BE40" i="1"/>
  <c r="F41" i="1"/>
  <c r="J41" i="1"/>
  <c r="BE41" i="1"/>
  <c r="F42" i="1"/>
  <c r="J42" i="1"/>
  <c r="BE42" i="1"/>
  <c r="F43" i="1"/>
  <c r="J43" i="1"/>
  <c r="BE43" i="1"/>
  <c r="F44" i="1"/>
  <c r="J44" i="1"/>
  <c r="BE44" i="1"/>
  <c r="F45" i="1"/>
  <c r="J45" i="1"/>
  <c r="BE45" i="1"/>
  <c r="F46" i="1"/>
  <c r="J46" i="1"/>
  <c r="BE46" i="1"/>
  <c r="F47" i="1"/>
  <c r="J47" i="1"/>
  <c r="BE47" i="1"/>
  <c r="F48" i="1"/>
  <c r="J48" i="1"/>
  <c r="BE48" i="1"/>
  <c r="F49" i="1"/>
  <c r="J49" i="1"/>
  <c r="BE49" i="1"/>
  <c r="F50" i="1"/>
  <c r="J50" i="1"/>
  <c r="BE50" i="1"/>
  <c r="F51" i="1"/>
  <c r="J51" i="1"/>
  <c r="BE51" i="1"/>
  <c r="F52" i="1"/>
  <c r="J52" i="1"/>
  <c r="BE52" i="1"/>
  <c r="F53" i="1"/>
  <c r="J53" i="1"/>
  <c r="F54" i="1"/>
  <c r="J54" i="1"/>
  <c r="F55" i="1"/>
  <c r="J55" i="1"/>
  <c r="F56" i="1"/>
  <c r="J56" i="1"/>
  <c r="BE56" i="1"/>
  <c r="F57" i="1"/>
  <c r="J57" i="1"/>
  <c r="BE57" i="1"/>
  <c r="F58" i="1"/>
  <c r="J58" i="1"/>
  <c r="BE58" i="1"/>
  <c r="F59" i="1"/>
  <c r="J59" i="1"/>
  <c r="BE59" i="1"/>
  <c r="F60" i="1"/>
  <c r="J60" i="1"/>
  <c r="BE60" i="1"/>
  <c r="F61" i="1"/>
  <c r="J61" i="1"/>
  <c r="BE61" i="1"/>
  <c r="F62" i="1"/>
  <c r="J62" i="1"/>
  <c r="BE62" i="1"/>
  <c r="F63" i="1"/>
  <c r="J63" i="1"/>
  <c r="BE63" i="1"/>
  <c r="F64" i="1"/>
  <c r="J64" i="1"/>
  <c r="BE64" i="1"/>
  <c r="F65" i="1"/>
  <c r="J65" i="1"/>
  <c r="BE65" i="1"/>
  <c r="F66" i="1"/>
  <c r="J66" i="1"/>
  <c r="BE66" i="1"/>
  <c r="F67" i="1"/>
  <c r="J67" i="1"/>
  <c r="BE67" i="1"/>
  <c r="F68" i="1"/>
  <c r="J68" i="1"/>
  <c r="BE68" i="1"/>
  <c r="F69" i="1"/>
  <c r="J69" i="1"/>
  <c r="BE69" i="1"/>
  <c r="F70" i="1"/>
  <c r="J70" i="1"/>
  <c r="BE70" i="1"/>
  <c r="F71" i="1"/>
  <c r="J71" i="1"/>
  <c r="BE71" i="1"/>
  <c r="F72" i="1"/>
  <c r="J72" i="1"/>
  <c r="BE72" i="1"/>
  <c r="F73" i="1"/>
  <c r="J73" i="1"/>
  <c r="BE73" i="1"/>
  <c r="F74" i="1"/>
  <c r="J74" i="1"/>
  <c r="BE74" i="1"/>
  <c r="F75" i="1"/>
  <c r="J75" i="1"/>
  <c r="BE75" i="1"/>
  <c r="F76" i="1"/>
  <c r="J76" i="1"/>
  <c r="BE76" i="1"/>
  <c r="F77" i="1"/>
  <c r="J77" i="1"/>
  <c r="BE77" i="1"/>
  <c r="F78" i="1"/>
  <c r="J78" i="1"/>
  <c r="F79" i="1"/>
  <c r="J79" i="1"/>
  <c r="F80" i="1"/>
  <c r="J80" i="1"/>
  <c r="F81" i="1"/>
  <c r="J81" i="1"/>
  <c r="BE81" i="1"/>
  <c r="F82" i="1"/>
  <c r="J82" i="1"/>
  <c r="BE82" i="1"/>
  <c r="F83" i="1"/>
  <c r="J83" i="1"/>
  <c r="BE83" i="1"/>
  <c r="F84" i="1"/>
  <c r="J84" i="1"/>
  <c r="BE84" i="1"/>
  <c r="F85" i="1"/>
  <c r="J85" i="1"/>
  <c r="BE85" i="1"/>
  <c r="F86" i="1"/>
  <c r="J86" i="1"/>
  <c r="BE86" i="1"/>
  <c r="F87" i="1"/>
  <c r="J87" i="1"/>
  <c r="BE87" i="1"/>
  <c r="F88" i="1"/>
  <c r="J88" i="1"/>
  <c r="BE88" i="1"/>
  <c r="F89" i="1"/>
  <c r="J89" i="1"/>
  <c r="BE89" i="1"/>
  <c r="F90" i="1"/>
  <c r="J90" i="1"/>
  <c r="BE90" i="1"/>
  <c r="F91" i="1"/>
  <c r="J91" i="1"/>
  <c r="BE91" i="1"/>
  <c r="F92" i="1"/>
  <c r="J92" i="1"/>
  <c r="BE92" i="1"/>
  <c r="F93" i="1"/>
  <c r="J93" i="1"/>
  <c r="BE93" i="1"/>
  <c r="F94" i="1"/>
  <c r="J94" i="1"/>
  <c r="BE94" i="1"/>
  <c r="F95" i="1"/>
  <c r="J95" i="1"/>
  <c r="BE95" i="1"/>
  <c r="F96" i="1"/>
  <c r="J96" i="1"/>
  <c r="BE96" i="1"/>
  <c r="F97" i="1"/>
  <c r="J97" i="1"/>
  <c r="BE97" i="1"/>
  <c r="F98" i="1"/>
  <c r="J98" i="1"/>
  <c r="BE98" i="1"/>
  <c r="F99" i="1"/>
  <c r="J99" i="1"/>
  <c r="BE99" i="1"/>
  <c r="F100" i="1"/>
  <c r="J100" i="1"/>
  <c r="BE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J6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<sst xmlns="http://schemas.openxmlformats.org/spreadsheetml/2006/main" count="322" uniqueCount="288">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</sst>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4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139"/>
  <sheetViews>
    <sheetView tabSelected="1" topLeftCell="AZ1" zoomScaleNormal="100" workbookViewId="0">
      <pane ySplit="4" topLeftCell="A6" activePane="bottomLeft" state="frozen"/>
      <selection activeCell="P1" sqref="P1"/>
      <selection pane="bottomLeft" activeCell="BI6" sqref="BI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customWidth="1"/>
    <col min="15" max="15" width="18.1640625" style="2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23.83203125" style="25" customWidth="1"/>
    <col min="35" max="35" width="16.6640625" style="2" customWidth="1"/>
    <col min="36" max="36" width="12.5" style="2" customWidth="1"/>
    <col min="37" max="37" width="22.6640625" style="2" customWidth="1"/>
    <col min="38" max="38" width="19.5" style="2" customWidth="1"/>
    <col min="39" max="39" width="19" style="2" customWidth="1"/>
    <col min="40" max="41" width="25.33203125" style="2" customWidth="1"/>
    <col min="42" max="42" width="9.6640625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6.83203125" style="2" customWidth="1"/>
    <col min="47" max="47" width="23.1640625" style="2" customWidth="1"/>
    <col min="48" max="48" width="21.83203125" style="2" customWidth="1"/>
    <col min="49" max="49" width="14" style="2" customWidth="1"/>
    <col min="50" max="51" width="14.5" style="29" customWidth="1"/>
    <col min="52" max="52" width="27" style="2" customWidth="1"/>
    <col min="53" max="53" width="21.1640625" style="2" customWidth="1"/>
    <col min="54" max="54" width="18.83203125" style="2" customWidth="1"/>
    <col min="55" max="55" width="10.83203125" style="2" customWidth="1"/>
    <col min="56" max="56" width="22.1640625" style="2" customWidth="1"/>
    <col min="57" max="57" width="22.83203125" style="2" customWidth="1"/>
    <col min="58" max="58" width="10.83203125" style="2" customWidth="1"/>
    <col min="59" max="59" width="21.5" style="2" customWidth="1"/>
    <col min="60" max="60" width="18.33203125" style="2" customWidth="1"/>
    <col min="61" max="61" width="18.33203125" style="34" customWidth="1"/>
    <col min="62" max="62" width="17.83203125" style="2" customWidth="1"/>
    <col min="63" max="64" width="24.1640625" style="2" customWidth="1"/>
    <col min="65" max="65" width="22.1640625" style="2" customWidth="1"/>
    <col min="66" max="66" width="16.6640625" style="2" customWidth="1"/>
    <col min="67" max="67" width="7.6640625" style="2" customWidth="1"/>
    <col min="68" max="68" width="18.5" style="2" customWidth="1"/>
    <col min="69" max="69" width="21.5" style="2" customWidth="1"/>
    <col min="70" max="70" width="22.6640625" style="2" customWidth="1"/>
    <col min="71" max="71" width="10.83203125" style="2" customWidth="1"/>
    <col min="72" max="72" width="20.6640625" style="2" customWidth="1"/>
    <col min="73" max="73" width="22.33203125" style="2" customWidth="1"/>
    <col min="74" max="74" width="21.83203125" style="2" customWidth="1"/>
    <col min="75" max="75" width="28.1640625" style="2" customWidth="1"/>
    <col min="76" max="76" width="28.83203125" style="2" customWidth="1"/>
    <col min="77" max="77" width="18.83203125" style="2" customWidth="1"/>
    <col min="78" max="78" width="15.5" style="2" customWidth="1"/>
    <col min="79" max="79" width="15.33203125" style="2" customWidth="1"/>
    <col min="80" max="80" width="25.1640625" style="2" customWidth="1"/>
    <col min="81" max="16384" width="10.83203125" style="2"/>
  </cols>
  <sheetData>
    <row r="1" spans="1:80" ht="18" thickTop="1" thickBot="1" x14ac:dyDescent="0.25">
      <c r="J1" s="20" t="s">
        <v>239</v>
      </c>
      <c r="K1" s="21" t="s">
        <v>240</v>
      </c>
      <c r="L1" s="22" t="s">
        <v>241</v>
      </c>
    </row>
    <row r="2" spans="1:80" ht="17" thickTop="1" x14ac:dyDescent="0.2"/>
    <row r="3" spans="1:80" s="6" customFormat="1" x14ac:dyDescent="0.2">
      <c r="A3" s="35" t="s">
        <v>42</v>
      </c>
      <c r="B3" s="35"/>
      <c r="C3" s="35"/>
      <c r="D3" s="35"/>
      <c r="E3" s="35"/>
      <c r="F3" s="35" t="s">
        <v>43</v>
      </c>
      <c r="G3" s="35"/>
      <c r="H3" s="35"/>
      <c r="I3" s="35"/>
      <c r="J3" s="35"/>
      <c r="K3" s="35"/>
      <c r="L3" s="13" t="s">
        <v>44</v>
      </c>
      <c r="M3" s="35" t="s">
        <v>45</v>
      </c>
      <c r="N3" s="35"/>
      <c r="O3" s="7"/>
      <c r="P3" s="35" t="s">
        <v>46</v>
      </c>
      <c r="Q3" s="35"/>
      <c r="R3" s="35"/>
      <c r="S3" s="35"/>
      <c r="T3" s="35"/>
      <c r="U3" s="35" t="s">
        <v>47</v>
      </c>
      <c r="V3" s="35"/>
      <c r="W3" s="35"/>
      <c r="X3" s="35"/>
      <c r="Y3" s="35"/>
      <c r="Z3" s="6" t="s">
        <v>48</v>
      </c>
      <c r="AA3" s="35" t="s">
        <v>49</v>
      </c>
      <c r="AB3" s="35"/>
      <c r="AC3" s="35"/>
      <c r="AD3" s="35" t="s">
        <v>266</v>
      </c>
      <c r="AE3" s="36"/>
      <c r="AF3" s="35" t="s">
        <v>267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5" t="s">
        <v>50</v>
      </c>
      <c r="AR3" s="35"/>
      <c r="AS3" s="35"/>
      <c r="AT3" s="35"/>
      <c r="AU3" s="35" t="s">
        <v>51</v>
      </c>
      <c r="AV3" s="35"/>
      <c r="AW3" s="35"/>
      <c r="AX3" s="28"/>
      <c r="AY3" s="28" t="s">
        <v>268</v>
      </c>
      <c r="AZ3" s="35" t="s">
        <v>52</v>
      </c>
      <c r="BA3" s="35"/>
      <c r="BB3" s="35" t="s">
        <v>53</v>
      </c>
      <c r="BC3" s="35"/>
      <c r="BD3" s="35" t="s">
        <v>216</v>
      </c>
      <c r="BE3" s="36"/>
      <c r="BF3" s="36"/>
      <c r="BG3" s="36"/>
      <c r="BH3" s="36"/>
      <c r="BI3" s="36"/>
      <c r="BJ3" s="36"/>
      <c r="BK3" s="36"/>
      <c r="BL3" s="36"/>
      <c r="BM3" s="35" t="s">
        <v>54</v>
      </c>
      <c r="BN3" s="35"/>
      <c r="BO3" s="35"/>
      <c r="BP3" s="6" t="s">
        <v>269</v>
      </c>
      <c r="BQ3" s="35" t="s">
        <v>272</v>
      </c>
      <c r="BR3" s="36"/>
      <c r="BS3" s="35" t="s">
        <v>277</v>
      </c>
      <c r="BT3" s="36"/>
      <c r="BU3" s="36"/>
      <c r="BV3" s="36"/>
      <c r="BW3" s="36"/>
      <c r="BX3" s="36"/>
      <c r="BY3" s="35" t="s">
        <v>282</v>
      </c>
      <c r="BZ3" s="36"/>
      <c r="CA3" s="36"/>
      <c r="CB3" s="36"/>
    </row>
    <row r="4" spans="1:80" s="5" customFormat="1" x14ac:dyDescent="0.2">
      <c r="A4" s="5" t="s">
        <v>1</v>
      </c>
      <c r="B4" s="5" t="s">
        <v>214</v>
      </c>
      <c r="C4" s="5" t="s">
        <v>215</v>
      </c>
      <c r="D4" s="19" t="s">
        <v>0</v>
      </c>
      <c r="E4" s="19" t="s">
        <v>237</v>
      </c>
      <c r="F4" s="5" t="s">
        <v>2</v>
      </c>
      <c r="G4" s="19" t="s">
        <v>3</v>
      </c>
      <c r="H4" s="19" t="s">
        <v>270</v>
      </c>
      <c r="I4" s="19" t="s">
        <v>4</v>
      </c>
      <c r="J4" s="5" t="s">
        <v>5</v>
      </c>
      <c r="K4" s="19" t="s">
        <v>213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232</v>
      </c>
      <c r="AG4" s="5" t="s">
        <v>231</v>
      </c>
      <c r="AH4" s="5" t="s">
        <v>247</v>
      </c>
      <c r="AI4" s="5" t="s">
        <v>27</v>
      </c>
      <c r="AJ4" s="5" t="s">
        <v>230</v>
      </c>
      <c r="AK4" s="5" t="s">
        <v>229</v>
      </c>
      <c r="AL4" s="5" t="s">
        <v>228</v>
      </c>
      <c r="AM4" s="5" t="s">
        <v>227</v>
      </c>
      <c r="AN4" s="5" t="s">
        <v>226</v>
      </c>
      <c r="AO4" s="5" t="s">
        <v>225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234</v>
      </c>
      <c r="AU4" s="5" t="s">
        <v>33</v>
      </c>
      <c r="AV4" s="5" t="s">
        <v>34</v>
      </c>
      <c r="AW4" s="5" t="s">
        <v>35</v>
      </c>
      <c r="AX4" s="5" t="s">
        <v>263</v>
      </c>
      <c r="AY4" s="5" t="s">
        <v>262</v>
      </c>
      <c r="AZ4" s="5" t="s">
        <v>36</v>
      </c>
      <c r="BA4" s="5" t="s">
        <v>37</v>
      </c>
      <c r="BB4" s="5" t="s">
        <v>38</v>
      </c>
      <c r="BC4" s="5" t="s">
        <v>39</v>
      </c>
      <c r="BD4" s="5" t="s">
        <v>217</v>
      </c>
      <c r="BE4" s="5" t="s">
        <v>224</v>
      </c>
      <c r="BF4" s="5" t="s">
        <v>223</v>
      </c>
      <c r="BG4" s="5" t="s">
        <v>222</v>
      </c>
      <c r="BH4" s="5" t="s">
        <v>221</v>
      </c>
      <c r="BI4" s="5" t="s">
        <v>283</v>
      </c>
      <c r="BJ4" s="5" t="s">
        <v>220</v>
      </c>
      <c r="BK4" s="5" t="s">
        <v>219</v>
      </c>
      <c r="BL4" s="5" t="s">
        <v>218</v>
      </c>
      <c r="BM4" s="5" t="s">
        <v>233</v>
      </c>
      <c r="BN4" s="5" t="s">
        <v>40</v>
      </c>
      <c r="BO4" s="5" t="s">
        <v>41</v>
      </c>
      <c r="BP4" s="5" t="s">
        <v>261</v>
      </c>
      <c r="BQ4" s="5" t="s">
        <v>257</v>
      </c>
      <c r="BR4" s="5" t="s">
        <v>258</v>
      </c>
      <c r="BS4" s="5" t="s">
        <v>259</v>
      </c>
      <c r="BT4" s="5" t="s">
        <v>260</v>
      </c>
      <c r="BU4" s="5" t="s">
        <v>273</v>
      </c>
      <c r="BV4" s="5" t="s">
        <v>274</v>
      </c>
      <c r="BW4" s="5" t="s">
        <v>275</v>
      </c>
      <c r="BX4" s="5" t="s">
        <v>276</v>
      </c>
      <c r="BY4" s="5" t="s">
        <v>278</v>
      </c>
      <c r="BZ4" s="5" t="s">
        <v>279</v>
      </c>
      <c r="CA4" s="5" t="s">
        <v>280</v>
      </c>
      <c r="CB4" s="5" t="s">
        <v>281</v>
      </c>
    </row>
    <row r="5" spans="1:80" hidden="1" x14ac:dyDescent="0.2">
      <c r="A5" s="4" t="str">
        <f>D5</f>
        <v>SPECTRUM-OV-001</v>
      </c>
      <c r="B5" s="4"/>
      <c r="C5" s="4"/>
      <c r="D5" s="2" t="s">
        <v>55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210</v>
      </c>
    </row>
    <row r="6" spans="1:80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6"/>
      <c r="AW6" s="10"/>
      <c r="AX6" s="10"/>
      <c r="AY6" s="10"/>
      <c r="AZ6" s="10"/>
      <c r="BA6" s="10"/>
      <c r="BB6" s="10"/>
      <c r="BC6" s="10"/>
      <c r="BD6" s="16"/>
      <c r="BE6" s="8"/>
      <c r="BF6" s="10"/>
      <c r="BG6" s="10"/>
      <c r="BH6" s="10"/>
      <c r="BI6" s="10"/>
      <c r="BJ6" s="10"/>
      <c r="BK6" s="10"/>
      <c r="BL6" s="10"/>
      <c r="BM6" s="16"/>
      <c r="BN6" s="10"/>
      <c r="BO6" s="10"/>
      <c r="BQ6" s="12"/>
    </row>
    <row r="7" spans="1:80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6"/>
      <c r="AW7" s="10"/>
      <c r="AX7" s="10"/>
      <c r="AY7" s="10"/>
      <c r="AZ7" s="10"/>
      <c r="BA7" s="10"/>
      <c r="BB7" s="10"/>
      <c r="BC7" s="10"/>
      <c r="BD7" s="16"/>
      <c r="BE7" s="8"/>
      <c r="BF7" s="10"/>
      <c r="BG7" s="10"/>
      <c r="BH7" s="10"/>
      <c r="BI7" s="10"/>
      <c r="BJ7" s="10"/>
      <c r="BK7" s="10"/>
      <c r="BL7" s="10"/>
      <c r="BM7" s="16"/>
      <c r="BN7" s="10"/>
      <c r="BO7" s="10"/>
      <c r="BP7" s="30"/>
      <c r="BQ7" s="12"/>
    </row>
    <row r="8" spans="1:80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3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6"/>
      <c r="AW8" s="10"/>
      <c r="AX8" s="10"/>
      <c r="AY8" s="10"/>
      <c r="AZ8" s="10"/>
      <c r="BA8" s="10"/>
      <c r="BB8" s="10"/>
      <c r="BC8" s="10"/>
      <c r="BD8" s="16"/>
      <c r="BE8" s="8"/>
      <c r="BF8" s="10"/>
      <c r="BG8" s="10"/>
      <c r="BH8" s="10"/>
      <c r="BI8" s="10"/>
      <c r="BJ8" s="10"/>
      <c r="BK8" s="10"/>
      <c r="BL8" s="10"/>
      <c r="BM8" s="16"/>
      <c r="BN8" s="10"/>
      <c r="BO8" s="10"/>
      <c r="BP8" s="30"/>
      <c r="BQ8" s="12"/>
    </row>
    <row r="9" spans="1:80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3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6"/>
      <c r="AW9" s="10"/>
      <c r="AX9" s="10"/>
      <c r="AY9" s="10"/>
      <c r="AZ9" s="10"/>
      <c r="BA9" s="10"/>
      <c r="BB9" s="10"/>
      <c r="BC9" s="10"/>
      <c r="BD9" s="16"/>
      <c r="BE9" s="8"/>
      <c r="BF9" s="10"/>
      <c r="BG9" s="10"/>
      <c r="BH9" s="10"/>
      <c r="BI9" s="10"/>
      <c r="BJ9" s="10"/>
      <c r="BK9" s="10"/>
      <c r="BL9" s="10"/>
      <c r="BM9" s="16"/>
      <c r="BN9" s="10"/>
      <c r="BO9" s="10"/>
      <c r="BP9" s="30"/>
      <c r="BQ9" s="12"/>
    </row>
    <row r="10" spans="1:80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3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6"/>
      <c r="AW10" s="10"/>
      <c r="AX10" s="10"/>
      <c r="AY10" s="10"/>
      <c r="AZ10" s="10"/>
      <c r="BA10" s="10"/>
      <c r="BB10" s="10"/>
      <c r="BC10" s="10"/>
      <c r="BD10" s="16"/>
      <c r="BE10" s="8"/>
      <c r="BF10" s="10"/>
      <c r="BG10" s="10"/>
      <c r="BH10" s="10"/>
      <c r="BI10" s="10"/>
      <c r="BJ10" s="10"/>
      <c r="BK10" s="10"/>
      <c r="BL10" s="10"/>
      <c r="BM10" s="16"/>
      <c r="BN10" s="10"/>
      <c r="BO10" s="10"/>
      <c r="BP10" s="30"/>
      <c r="BQ10" s="12"/>
    </row>
    <row r="11" spans="1:80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3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6"/>
      <c r="AW11" s="10"/>
      <c r="AX11" s="10"/>
      <c r="AY11" s="10"/>
      <c r="AZ11" s="10"/>
      <c r="BA11" s="10"/>
      <c r="BB11" s="10"/>
      <c r="BC11" s="10"/>
      <c r="BD11" s="16"/>
      <c r="BE11" s="8"/>
      <c r="BF11" s="10"/>
      <c r="BG11" s="10"/>
      <c r="BH11" s="10"/>
      <c r="BI11" s="10"/>
      <c r="BJ11" s="10"/>
      <c r="BK11" s="10"/>
      <c r="BL11" s="10"/>
      <c r="BM11" s="16"/>
      <c r="BN11" s="10"/>
      <c r="BO11" s="10"/>
      <c r="BP11" s="30"/>
      <c r="BQ11" s="12"/>
    </row>
    <row r="12" spans="1:80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3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6"/>
      <c r="AW12" s="10"/>
      <c r="AX12" s="10"/>
      <c r="AY12" s="10"/>
      <c r="AZ12" s="10"/>
      <c r="BA12" s="10"/>
      <c r="BB12" s="10"/>
      <c r="BC12" s="10"/>
      <c r="BD12" s="16"/>
      <c r="BE12" s="8"/>
      <c r="BF12" s="10"/>
      <c r="BG12" s="10"/>
      <c r="BH12" s="10"/>
      <c r="BI12" s="10"/>
      <c r="BJ12" s="10"/>
      <c r="BK12" s="10"/>
      <c r="BL12" s="10"/>
      <c r="BM12" s="16"/>
      <c r="BN12" s="10"/>
      <c r="BO12" s="10"/>
      <c r="BP12" s="30"/>
      <c r="BQ12" s="12"/>
    </row>
    <row r="13" spans="1:80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3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6"/>
      <c r="AW13" s="10"/>
      <c r="AX13" s="10"/>
      <c r="AY13" s="10"/>
      <c r="AZ13" s="10"/>
      <c r="BA13" s="10"/>
      <c r="BB13" s="10"/>
      <c r="BC13" s="10"/>
      <c r="BD13" s="16"/>
      <c r="BE13" s="8"/>
      <c r="BF13" s="10"/>
      <c r="BG13" s="10"/>
      <c r="BH13" s="10"/>
      <c r="BI13" s="10"/>
      <c r="BJ13" s="10"/>
      <c r="BK13" s="10"/>
      <c r="BL13" s="10"/>
      <c r="BM13" s="16"/>
      <c r="BN13" s="10"/>
      <c r="BO13" s="10"/>
      <c r="BP13" s="32"/>
      <c r="BQ13" s="12"/>
    </row>
    <row r="14" spans="1:80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3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6"/>
      <c r="AW14" s="10"/>
      <c r="AX14" s="10"/>
      <c r="AY14" s="10"/>
      <c r="AZ14" s="10"/>
      <c r="BA14" s="10"/>
      <c r="BB14" s="10"/>
      <c r="BC14" s="10"/>
      <c r="BD14" s="16"/>
      <c r="BE14" s="8"/>
      <c r="BF14" s="10"/>
      <c r="BG14" s="10"/>
      <c r="BH14" s="10"/>
      <c r="BI14" s="10"/>
      <c r="BJ14" s="10"/>
      <c r="BK14" s="10"/>
      <c r="BL14" s="10"/>
      <c r="BM14" s="16"/>
      <c r="BN14" s="10"/>
      <c r="BO14" s="10"/>
      <c r="BP14" s="32"/>
      <c r="BQ14" s="12"/>
    </row>
    <row r="15" spans="1:80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3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6"/>
      <c r="AW15" s="10"/>
      <c r="AX15" s="10"/>
      <c r="AY15" s="10"/>
      <c r="AZ15" s="10"/>
      <c r="BA15" s="10"/>
      <c r="BB15" s="10"/>
      <c r="BC15" s="10"/>
      <c r="BD15" s="16"/>
      <c r="BE15" s="8"/>
      <c r="BF15" s="10"/>
      <c r="BG15" s="10"/>
      <c r="BH15" s="10"/>
      <c r="BI15" s="10"/>
      <c r="BJ15" s="10"/>
      <c r="BK15" s="10"/>
      <c r="BL15" s="10"/>
      <c r="BM15" s="16"/>
      <c r="BN15" s="10"/>
      <c r="BO15" s="10"/>
      <c r="BP15" s="32"/>
      <c r="BQ15" s="12"/>
    </row>
    <row r="16" spans="1:80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3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6"/>
      <c r="AW16" s="10"/>
      <c r="AX16" s="10"/>
      <c r="AY16" s="10"/>
      <c r="AZ16" s="10"/>
      <c r="BA16" s="10"/>
      <c r="BB16" s="10"/>
      <c r="BC16" s="10"/>
      <c r="BD16" s="16"/>
      <c r="BE16" s="8"/>
      <c r="BF16" s="10"/>
      <c r="BG16" s="10"/>
      <c r="BH16" s="10"/>
      <c r="BI16" s="10"/>
      <c r="BJ16" s="10"/>
      <c r="BK16" s="10"/>
      <c r="BL16" s="10"/>
      <c r="BM16" s="16"/>
      <c r="BN16" s="10"/>
      <c r="BO16" s="10"/>
      <c r="BP16" s="32"/>
      <c r="BQ16" s="16"/>
      <c r="BR16" s="10"/>
      <c r="BS16" s="10"/>
    </row>
    <row r="17" spans="1:71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3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6"/>
      <c r="AW17" s="10"/>
      <c r="AX17" s="10"/>
      <c r="AY17" s="10"/>
      <c r="AZ17" s="10"/>
      <c r="BA17" s="10"/>
      <c r="BB17" s="10"/>
      <c r="BC17" s="10"/>
      <c r="BD17" s="16"/>
      <c r="BE17" s="8"/>
      <c r="BF17" s="10"/>
      <c r="BG17" s="10"/>
      <c r="BH17" s="10"/>
      <c r="BI17" s="10"/>
      <c r="BJ17" s="10"/>
      <c r="BK17" s="10"/>
      <c r="BL17" s="10"/>
      <c r="BM17" s="16"/>
      <c r="BN17" s="10"/>
      <c r="BO17" s="10"/>
      <c r="BP17" s="32"/>
      <c r="BQ17" s="16"/>
      <c r="BR17" s="10"/>
      <c r="BS17" s="10"/>
    </row>
    <row r="18" spans="1:71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3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6"/>
      <c r="AW18" s="10"/>
      <c r="AX18" s="10"/>
      <c r="AY18" s="10"/>
      <c r="AZ18" s="10"/>
      <c r="BA18" s="10"/>
      <c r="BB18" s="10"/>
      <c r="BC18" s="10"/>
      <c r="BD18" s="16"/>
      <c r="BE18" s="8"/>
      <c r="BF18" s="10"/>
      <c r="BG18" s="10"/>
      <c r="BH18" s="10"/>
      <c r="BI18" s="10"/>
      <c r="BJ18" s="10"/>
      <c r="BK18" s="10"/>
      <c r="BL18" s="10"/>
      <c r="BM18" s="16"/>
      <c r="BN18" s="10"/>
      <c r="BO18" s="10"/>
      <c r="BP18" s="32"/>
      <c r="BQ18" s="16"/>
      <c r="BR18" s="10"/>
      <c r="BS18" s="10"/>
    </row>
    <row r="19" spans="1:71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3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6"/>
      <c r="AW19" s="10"/>
      <c r="AX19" s="10"/>
      <c r="AY19" s="10"/>
      <c r="AZ19" s="10"/>
      <c r="BA19" s="10"/>
      <c r="BB19" s="10"/>
      <c r="BC19" s="10"/>
      <c r="BD19" s="16"/>
      <c r="BE19" s="8"/>
      <c r="BF19" s="10"/>
      <c r="BG19" s="10"/>
      <c r="BH19" s="10"/>
      <c r="BI19" s="10"/>
      <c r="BJ19" s="10"/>
      <c r="BK19" s="10"/>
      <c r="BL19" s="10"/>
      <c r="BM19" s="16"/>
      <c r="BN19" s="10"/>
      <c r="BO19" s="10"/>
      <c r="BP19" s="32"/>
      <c r="BQ19" s="16"/>
      <c r="BR19" s="10"/>
      <c r="BS19" s="10"/>
    </row>
    <row r="20" spans="1:71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3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6"/>
      <c r="AW20" s="10"/>
      <c r="AX20" s="10"/>
      <c r="AY20" s="10"/>
      <c r="AZ20" s="10"/>
      <c r="BA20" s="10"/>
      <c r="BB20" s="10"/>
      <c r="BC20" s="10"/>
      <c r="BD20" s="16"/>
      <c r="BE20" s="8"/>
      <c r="BF20" s="10"/>
      <c r="BG20" s="10"/>
      <c r="BH20" s="10"/>
      <c r="BI20" s="10"/>
      <c r="BJ20" s="10"/>
      <c r="BK20" s="10"/>
      <c r="BL20" s="10"/>
      <c r="BM20" s="16"/>
      <c r="BN20" s="10"/>
      <c r="BO20" s="10"/>
      <c r="BP20" s="32"/>
      <c r="BQ20" s="16"/>
      <c r="BR20" s="10"/>
      <c r="BS20" s="10"/>
    </row>
    <row r="21" spans="1:71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3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6"/>
      <c r="AW21" s="10"/>
      <c r="AX21" s="10"/>
      <c r="AY21" s="10"/>
      <c r="AZ21" s="10"/>
      <c r="BA21" s="10"/>
      <c r="BB21" s="10"/>
      <c r="BC21" s="10"/>
      <c r="BD21" s="16"/>
      <c r="BE21" s="8"/>
      <c r="BF21" s="10"/>
      <c r="BG21" s="10"/>
      <c r="BH21" s="10"/>
      <c r="BI21" s="10"/>
      <c r="BJ21" s="10"/>
      <c r="BK21" s="10"/>
      <c r="BL21" s="10"/>
      <c r="BM21" s="16"/>
      <c r="BN21" s="10"/>
      <c r="BO21" s="10"/>
      <c r="BP21" s="32"/>
      <c r="BQ21" s="16"/>
      <c r="BR21" s="10"/>
      <c r="BS21" s="10"/>
    </row>
    <row r="22" spans="1:71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3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6"/>
      <c r="AW22" s="10"/>
      <c r="AX22" s="10"/>
      <c r="AY22" s="10"/>
      <c r="AZ22" s="10"/>
      <c r="BA22" s="10"/>
      <c r="BB22" s="10"/>
      <c r="BC22" s="10"/>
      <c r="BD22" s="16"/>
      <c r="BE22" s="8"/>
      <c r="BF22" s="10"/>
      <c r="BG22" s="10"/>
      <c r="BH22" s="10"/>
      <c r="BI22" s="10"/>
      <c r="BJ22" s="10"/>
      <c r="BK22" s="10"/>
      <c r="BL22" s="10"/>
      <c r="BM22" s="16"/>
      <c r="BN22" s="10"/>
      <c r="BO22" s="10"/>
      <c r="BP22" s="32"/>
      <c r="BQ22" s="16"/>
      <c r="BR22" s="10"/>
      <c r="BS22" s="10"/>
    </row>
    <row r="23" spans="1:71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3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6"/>
      <c r="AW23" s="10"/>
      <c r="AX23" s="10"/>
      <c r="AY23" s="10"/>
      <c r="AZ23" s="10"/>
      <c r="BA23" s="10"/>
      <c r="BB23" s="10"/>
      <c r="BC23" s="10"/>
      <c r="BD23" s="16"/>
      <c r="BE23" s="8"/>
      <c r="BF23" s="10"/>
      <c r="BG23" s="10"/>
      <c r="BH23" s="10"/>
      <c r="BI23" s="10"/>
      <c r="BJ23" s="10"/>
      <c r="BK23" s="10"/>
      <c r="BL23" s="10"/>
      <c r="BM23" s="16"/>
      <c r="BN23" s="10"/>
      <c r="BO23" s="10"/>
      <c r="BP23" s="32"/>
      <c r="BQ23" s="16"/>
      <c r="BR23" s="10"/>
      <c r="BS23" s="10"/>
    </row>
    <row r="24" spans="1:71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3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6"/>
      <c r="AW24" s="10"/>
      <c r="AX24" s="10"/>
      <c r="AY24" s="10"/>
      <c r="AZ24" s="10"/>
      <c r="BA24" s="10"/>
      <c r="BB24" s="10"/>
      <c r="BC24" s="10"/>
      <c r="BD24" s="16"/>
      <c r="BE24" s="8"/>
      <c r="BF24" s="10"/>
      <c r="BG24" s="10"/>
      <c r="BH24" s="10"/>
      <c r="BI24" s="10"/>
      <c r="BJ24" s="10"/>
      <c r="BK24" s="10"/>
      <c r="BL24" s="10"/>
      <c r="BM24" s="16"/>
      <c r="BN24" s="10"/>
      <c r="BO24" s="10"/>
      <c r="BP24" s="32"/>
      <c r="BQ24" s="16"/>
      <c r="BR24" s="10"/>
      <c r="BS24" s="10"/>
    </row>
    <row r="25" spans="1:71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3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6"/>
      <c r="AW25" s="10"/>
      <c r="AX25" s="10"/>
      <c r="AY25" s="10"/>
      <c r="AZ25" s="10"/>
      <c r="BA25" s="10"/>
      <c r="BB25" s="10"/>
      <c r="BC25" s="10"/>
      <c r="BD25" s="16"/>
      <c r="BE25" s="8"/>
      <c r="BF25" s="10"/>
      <c r="BG25" s="10"/>
      <c r="BH25" s="10"/>
      <c r="BI25" s="10"/>
      <c r="BJ25" s="10"/>
      <c r="BK25" s="10"/>
      <c r="BL25" s="10"/>
      <c r="BM25" s="16"/>
      <c r="BN25" s="10"/>
      <c r="BO25" s="10"/>
      <c r="BP25" s="32"/>
      <c r="BQ25" s="16"/>
      <c r="BR25" s="10"/>
      <c r="BS25" s="10"/>
    </row>
    <row r="26" spans="1:71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3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6"/>
      <c r="AW26" s="10"/>
      <c r="AX26" s="10"/>
      <c r="AY26" s="10"/>
      <c r="AZ26" s="10"/>
      <c r="BA26" s="10"/>
      <c r="BB26" s="10"/>
      <c r="BC26" s="10"/>
      <c r="BD26" s="16"/>
      <c r="BE26" s="8"/>
      <c r="BF26" s="10"/>
      <c r="BG26" s="10"/>
      <c r="BH26" s="10"/>
      <c r="BI26" s="10"/>
      <c r="BJ26" s="10"/>
      <c r="BK26" s="10"/>
      <c r="BL26" s="10"/>
      <c r="BM26" s="16"/>
      <c r="BN26" s="10"/>
      <c r="BO26" s="10"/>
      <c r="BP26" s="32"/>
      <c r="BQ26" s="16"/>
      <c r="BR26" s="10"/>
      <c r="BS26" s="10"/>
    </row>
    <row r="27" spans="1:71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3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6"/>
      <c r="AW27" s="10"/>
      <c r="AX27" s="10"/>
      <c r="AY27" s="10"/>
      <c r="AZ27" s="10"/>
      <c r="BA27" s="10"/>
      <c r="BB27" s="10"/>
      <c r="BC27" s="10"/>
      <c r="BD27" s="16"/>
      <c r="BE27" s="8"/>
      <c r="BF27" s="10"/>
      <c r="BG27" s="10"/>
      <c r="BH27" s="10"/>
      <c r="BI27" s="10"/>
      <c r="BJ27" s="10"/>
      <c r="BK27" s="10"/>
      <c r="BL27" s="10"/>
      <c r="BM27" s="16"/>
      <c r="BN27" s="10"/>
      <c r="BO27" s="10"/>
      <c r="BP27" s="32"/>
      <c r="BQ27" s="16"/>
      <c r="BR27" s="10"/>
      <c r="BS27" s="10"/>
    </row>
    <row r="28" spans="1:71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3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6"/>
      <c r="AW28" s="10"/>
      <c r="AX28" s="10"/>
      <c r="AY28" s="10"/>
      <c r="AZ28" s="10"/>
      <c r="BA28" s="10"/>
      <c r="BB28" s="10"/>
      <c r="BC28" s="10"/>
      <c r="BD28" s="16"/>
      <c r="BE28" s="8"/>
      <c r="BF28" s="10"/>
      <c r="BG28" s="10"/>
      <c r="BH28" s="10"/>
      <c r="BI28" s="10"/>
      <c r="BJ28" s="10"/>
      <c r="BK28" s="10"/>
      <c r="BL28" s="10"/>
      <c r="BM28" s="16"/>
      <c r="BN28" s="10"/>
      <c r="BO28" s="10"/>
      <c r="BP28" s="32"/>
      <c r="BQ28" s="16"/>
      <c r="BR28" s="10"/>
      <c r="BS28" s="10"/>
    </row>
    <row r="29" spans="1:71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3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6"/>
      <c r="AW29" s="10"/>
      <c r="AX29" s="10"/>
      <c r="AY29" s="10"/>
      <c r="AZ29" s="10"/>
      <c r="BA29" s="10"/>
      <c r="BB29" s="10"/>
      <c r="BC29" s="10"/>
      <c r="BD29" s="10"/>
      <c r="BE29" s="8"/>
      <c r="BF29" s="10"/>
      <c r="BG29" s="10"/>
      <c r="BH29" s="10"/>
      <c r="BI29" s="10"/>
      <c r="BJ29" s="10"/>
      <c r="BK29" s="10"/>
      <c r="BL29" s="10"/>
      <c r="BM29" s="16"/>
      <c r="BN29" s="10"/>
      <c r="BO29" s="10"/>
      <c r="BP29" s="32"/>
      <c r="BQ29" s="16"/>
      <c r="BR29" s="10"/>
      <c r="BS29" s="10"/>
    </row>
    <row r="30" spans="1:71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3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6"/>
      <c r="AW30" s="10"/>
      <c r="AX30" s="10"/>
      <c r="AY30" s="10"/>
      <c r="AZ30" s="10"/>
      <c r="BA30" s="10"/>
      <c r="BB30" s="10"/>
      <c r="BC30" s="10"/>
      <c r="BD30" s="10"/>
      <c r="BE30" s="8"/>
      <c r="BF30" s="10"/>
      <c r="BG30" s="10"/>
      <c r="BH30" s="10"/>
      <c r="BI30" s="10"/>
      <c r="BJ30" s="10"/>
      <c r="BK30" s="10"/>
      <c r="BL30" s="10"/>
      <c r="BM30" s="16"/>
      <c r="BN30" s="10"/>
      <c r="BO30" s="10"/>
      <c r="BP30" s="32"/>
      <c r="BQ30" s="16"/>
      <c r="BR30" s="10"/>
      <c r="BS30" s="10"/>
    </row>
    <row r="31" spans="1:71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3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6"/>
      <c r="AW31" s="10"/>
      <c r="AX31" s="10"/>
      <c r="AY31" s="10"/>
      <c r="AZ31" s="10"/>
      <c r="BA31" s="10"/>
      <c r="BB31" s="10"/>
      <c r="BC31" s="10"/>
      <c r="BD31" s="16"/>
      <c r="BE31" s="8"/>
      <c r="BF31" s="10"/>
      <c r="BG31" s="10"/>
      <c r="BH31" s="10"/>
      <c r="BI31" s="10"/>
      <c r="BJ31" s="10"/>
      <c r="BK31" s="10"/>
      <c r="BL31" s="10"/>
      <c r="BM31" s="16"/>
      <c r="BN31" s="10"/>
      <c r="BO31" s="10"/>
      <c r="BP31" s="32"/>
      <c r="BQ31" s="16"/>
      <c r="BR31" s="10"/>
      <c r="BS31" s="10"/>
    </row>
    <row r="32" spans="1:71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3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6"/>
      <c r="AW32" s="10"/>
      <c r="AX32" s="10"/>
      <c r="AY32" s="10"/>
      <c r="AZ32" s="10"/>
      <c r="BA32" s="10"/>
      <c r="BB32" s="10"/>
      <c r="BC32" s="10"/>
      <c r="BD32" s="16"/>
      <c r="BE32" s="8"/>
      <c r="BF32" s="10"/>
      <c r="BG32" s="10"/>
      <c r="BH32" s="10"/>
      <c r="BI32" s="10"/>
      <c r="BJ32" s="10"/>
      <c r="BK32" s="10"/>
      <c r="BL32" s="10"/>
      <c r="BM32" s="16"/>
      <c r="BN32" s="10"/>
      <c r="BO32" s="10"/>
      <c r="BP32" s="32"/>
      <c r="BQ32" s="16"/>
      <c r="BR32" s="10"/>
      <c r="BS32" s="10"/>
    </row>
    <row r="33" spans="1:71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3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6"/>
      <c r="AW33" s="10"/>
      <c r="AX33" s="10"/>
      <c r="AY33" s="10"/>
      <c r="AZ33" s="10"/>
      <c r="BA33" s="10"/>
      <c r="BB33" s="10"/>
      <c r="BC33" s="10"/>
      <c r="BD33" s="16"/>
      <c r="BE33" s="8"/>
      <c r="BF33" s="10"/>
      <c r="BG33" s="10"/>
      <c r="BH33" s="10"/>
      <c r="BI33" s="10"/>
      <c r="BJ33" s="10"/>
      <c r="BK33" s="10"/>
      <c r="BL33" s="10"/>
      <c r="BM33" s="16"/>
      <c r="BN33" s="10"/>
      <c r="BO33" s="10"/>
      <c r="BP33" s="32"/>
      <c r="BQ33" s="16"/>
      <c r="BR33" s="10"/>
      <c r="BS33" s="10"/>
    </row>
    <row r="34" spans="1:71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3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6"/>
      <c r="AW34" s="10"/>
      <c r="AX34" s="10"/>
      <c r="AY34" s="10"/>
      <c r="AZ34" s="10"/>
      <c r="BA34" s="10"/>
      <c r="BB34" s="10"/>
      <c r="BC34" s="10"/>
      <c r="BD34" s="16"/>
      <c r="BE34" s="8"/>
      <c r="BF34" s="10"/>
      <c r="BG34" s="10"/>
      <c r="BH34" s="10"/>
      <c r="BI34" s="10"/>
      <c r="BJ34" s="10"/>
      <c r="BK34" s="10"/>
      <c r="BL34" s="10"/>
      <c r="BM34" s="16"/>
      <c r="BN34" s="10"/>
      <c r="BO34" s="10"/>
      <c r="BP34" s="32"/>
      <c r="BQ34" s="16"/>
      <c r="BR34" s="10"/>
      <c r="BS34" s="10"/>
    </row>
    <row r="35" spans="1:71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3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6"/>
      <c r="AW35" s="10"/>
      <c r="AX35" s="10"/>
      <c r="AY35" s="10"/>
      <c r="AZ35" s="10"/>
      <c r="BA35" s="10"/>
      <c r="BB35" s="10"/>
      <c r="BC35" s="10"/>
      <c r="BD35" s="16"/>
      <c r="BE35" s="8"/>
      <c r="BF35" s="10"/>
      <c r="BG35" s="10"/>
      <c r="BH35" s="10"/>
      <c r="BI35" s="10"/>
      <c r="BJ35" s="10"/>
      <c r="BK35" s="10"/>
      <c r="BL35" s="10"/>
      <c r="BM35" s="16"/>
      <c r="BN35" s="10"/>
      <c r="BO35" s="10"/>
      <c r="BP35" s="32"/>
      <c r="BQ35" s="16"/>
      <c r="BR35" s="10"/>
      <c r="BS35" s="10"/>
    </row>
    <row r="36" spans="1:71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3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6"/>
      <c r="AW36" s="10"/>
      <c r="AX36" s="10"/>
      <c r="AY36" s="10"/>
      <c r="AZ36" s="10"/>
      <c r="BA36" s="10"/>
      <c r="BB36" s="10"/>
      <c r="BC36" s="10"/>
      <c r="BD36" s="16"/>
      <c r="BE36" s="8"/>
      <c r="BF36" s="10"/>
      <c r="BG36" s="10"/>
      <c r="BH36" s="10"/>
      <c r="BI36" s="10"/>
      <c r="BJ36" s="10"/>
      <c r="BK36" s="10"/>
      <c r="BL36" s="10"/>
      <c r="BM36" s="16"/>
      <c r="BN36" s="10"/>
      <c r="BO36" s="10"/>
      <c r="BP36" s="32"/>
      <c r="BQ36" s="16"/>
      <c r="BR36" s="10"/>
      <c r="BS36" s="10"/>
    </row>
    <row r="37" spans="1:71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3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6"/>
      <c r="AW37" s="10"/>
      <c r="AX37" s="10"/>
      <c r="AY37" s="10"/>
      <c r="AZ37" s="10"/>
      <c r="BA37" s="10"/>
      <c r="BB37" s="10"/>
      <c r="BC37" s="10"/>
      <c r="BD37" s="16"/>
      <c r="BE37" s="8"/>
      <c r="BF37" s="10"/>
      <c r="BG37" s="10"/>
      <c r="BH37" s="10"/>
      <c r="BI37" s="10"/>
      <c r="BJ37" s="10"/>
      <c r="BK37" s="10"/>
      <c r="BL37" s="10"/>
      <c r="BM37" s="16"/>
      <c r="BN37" s="10"/>
      <c r="BO37" s="10"/>
      <c r="BP37" s="32"/>
      <c r="BQ37" s="16"/>
      <c r="BR37" s="10"/>
      <c r="BS37" s="10"/>
    </row>
    <row r="38" spans="1:71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3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6"/>
      <c r="AW38" s="10"/>
      <c r="AX38" s="10"/>
      <c r="AY38" s="10"/>
      <c r="AZ38" s="10"/>
      <c r="BA38" s="10"/>
      <c r="BB38" s="10"/>
      <c r="BC38" s="10"/>
      <c r="BD38" s="16"/>
      <c r="BE38" s="8"/>
      <c r="BF38" s="10"/>
      <c r="BG38" s="10"/>
      <c r="BH38" s="10"/>
      <c r="BI38" s="10"/>
      <c r="BJ38" s="10"/>
      <c r="BK38" s="10"/>
      <c r="BL38" s="10"/>
      <c r="BM38" s="16"/>
      <c r="BN38" s="10"/>
      <c r="BO38" s="10"/>
      <c r="BP38" s="32"/>
      <c r="BQ38" s="16"/>
      <c r="BR38" s="10"/>
      <c r="BS38" s="10"/>
    </row>
    <row r="39" spans="1:71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4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5">IF($D39="", "", "Main")</f>
        <v/>
      </c>
      <c r="K39" s="24"/>
      <c r="L39" s="24"/>
      <c r="M39" s="24" t="str">
        <f t="shared" ref="M39:M69" si="6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7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3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6"/>
      <c r="AW39" s="10"/>
      <c r="AX39" s="10"/>
      <c r="AY39" s="10"/>
      <c r="AZ39" s="10"/>
      <c r="BA39" s="10"/>
      <c r="BB39" s="10"/>
      <c r="BC39" s="10"/>
      <c r="BD39" s="16"/>
      <c r="BE39" s="8" t="str">
        <f t="shared" ref="BE39:BE94" si="8">IF($BD39="", "", "IGO")</f>
        <v/>
      </c>
      <c r="BF39" s="10"/>
      <c r="BG39" s="10"/>
      <c r="BH39" s="10"/>
      <c r="BI39" s="10"/>
      <c r="BJ39" s="10"/>
      <c r="BK39" s="10"/>
      <c r="BL39" s="10"/>
      <c r="BM39" s="16"/>
      <c r="BN39" s="10"/>
      <c r="BO39" s="10"/>
      <c r="BP39" s="10"/>
      <c r="BQ39" s="16"/>
      <c r="BR39" s="10"/>
      <c r="BS39" s="10"/>
    </row>
    <row r="40" spans="1:71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4"/>
        <v/>
      </c>
      <c r="G40" s="24"/>
      <c r="H40" s="12"/>
      <c r="I40" s="24"/>
      <c r="J40" s="8" t="str">
        <f t="shared" si="5"/>
        <v/>
      </c>
      <c r="K40" s="24"/>
      <c r="L40" s="24"/>
      <c r="M40" s="24" t="str">
        <f t="shared" si="6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7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3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6"/>
      <c r="AW40" s="10"/>
      <c r="AX40" s="10"/>
      <c r="AY40" s="10"/>
      <c r="AZ40" s="10"/>
      <c r="BA40" s="10"/>
      <c r="BB40" s="10"/>
      <c r="BC40" s="10"/>
      <c r="BD40" s="16"/>
      <c r="BE40" s="8" t="str">
        <f t="shared" si="8"/>
        <v/>
      </c>
      <c r="BF40" s="10"/>
      <c r="BG40" s="10"/>
      <c r="BH40" s="10"/>
      <c r="BI40" s="10"/>
      <c r="BJ40" s="10"/>
      <c r="BK40" s="10"/>
      <c r="BL40" s="10"/>
      <c r="BM40" s="16"/>
      <c r="BN40" s="10"/>
      <c r="BO40" s="10"/>
      <c r="BP40" s="10"/>
      <c r="BQ40" s="16"/>
      <c r="BR40" s="10"/>
      <c r="BS40" s="10"/>
    </row>
    <row r="41" spans="1:71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4"/>
        <v/>
      </c>
      <c r="G41" s="24"/>
      <c r="H41" s="12"/>
      <c r="I41" s="24"/>
      <c r="J41" s="8" t="str">
        <f t="shared" si="5"/>
        <v/>
      </c>
      <c r="K41" s="24"/>
      <c r="L41" s="24"/>
      <c r="M41" s="24" t="str">
        <f t="shared" si="6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7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3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6"/>
      <c r="AW41" s="10"/>
      <c r="AX41" s="10"/>
      <c r="AY41" s="10"/>
      <c r="AZ41" s="10"/>
      <c r="BA41" s="10"/>
      <c r="BB41" s="10"/>
      <c r="BC41" s="10"/>
      <c r="BD41" s="16"/>
      <c r="BE41" s="8" t="str">
        <f t="shared" si="8"/>
        <v/>
      </c>
      <c r="BF41" s="10"/>
      <c r="BG41" s="10"/>
      <c r="BH41" s="10"/>
      <c r="BI41" s="10"/>
      <c r="BJ41" s="10"/>
      <c r="BK41" s="10"/>
      <c r="BL41" s="10"/>
      <c r="BM41" s="16"/>
      <c r="BN41" s="10"/>
      <c r="BO41" s="10"/>
      <c r="BP41" s="10"/>
      <c r="BQ41" s="16"/>
      <c r="BR41" s="10"/>
      <c r="BS41" s="10"/>
    </row>
    <row r="42" spans="1:71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4"/>
        <v/>
      </c>
      <c r="G42" s="24"/>
      <c r="H42" s="12"/>
      <c r="I42" s="24"/>
      <c r="J42" s="8" t="str">
        <f t="shared" si="5"/>
        <v/>
      </c>
      <c r="K42" s="24"/>
      <c r="L42" s="24"/>
      <c r="M42" s="24" t="str">
        <f t="shared" si="6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7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3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6"/>
      <c r="AW42" s="10"/>
      <c r="AX42" s="10"/>
      <c r="AY42" s="10"/>
      <c r="AZ42" s="10"/>
      <c r="BA42" s="10"/>
      <c r="BB42" s="10"/>
      <c r="BC42" s="10"/>
      <c r="BD42" s="16"/>
      <c r="BE42" s="8" t="str">
        <f t="shared" si="8"/>
        <v/>
      </c>
      <c r="BF42" s="10"/>
      <c r="BG42" s="10"/>
      <c r="BH42" s="10"/>
      <c r="BI42" s="10"/>
      <c r="BJ42" s="10"/>
      <c r="BK42" s="10"/>
      <c r="BL42" s="10"/>
      <c r="BM42" s="16"/>
      <c r="BN42" s="10"/>
      <c r="BO42" s="10"/>
      <c r="BP42" s="10"/>
      <c r="BQ42" s="16"/>
      <c r="BR42" s="10"/>
      <c r="BS42" s="10"/>
    </row>
    <row r="43" spans="1:71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4"/>
        <v/>
      </c>
      <c r="G43" s="24"/>
      <c r="H43" s="12"/>
      <c r="I43" s="24"/>
      <c r="J43" s="8" t="str">
        <f t="shared" si="5"/>
        <v/>
      </c>
      <c r="K43" s="24"/>
      <c r="L43" s="24"/>
      <c r="M43" s="24" t="str">
        <f t="shared" si="6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7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3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6"/>
      <c r="AW43" s="10"/>
      <c r="AX43" s="10"/>
      <c r="AY43" s="10"/>
      <c r="AZ43" s="10"/>
      <c r="BA43" s="10"/>
      <c r="BB43" s="10"/>
      <c r="BC43" s="10"/>
      <c r="BD43" s="16"/>
      <c r="BE43" s="8" t="str">
        <f t="shared" si="8"/>
        <v/>
      </c>
      <c r="BF43" s="10"/>
      <c r="BG43" s="10"/>
      <c r="BH43" s="10"/>
      <c r="BI43" s="10"/>
      <c r="BJ43" s="10"/>
      <c r="BK43" s="10"/>
      <c r="BL43" s="10"/>
      <c r="BM43" s="16"/>
      <c r="BN43" s="10"/>
      <c r="BO43" s="10"/>
      <c r="BP43" s="10"/>
      <c r="BQ43" s="16"/>
      <c r="BR43" s="10"/>
      <c r="BS43" s="10"/>
    </row>
    <row r="44" spans="1:71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4"/>
        <v/>
      </c>
      <c r="G44" s="24"/>
      <c r="H44" s="12"/>
      <c r="I44" s="24"/>
      <c r="J44" s="8" t="str">
        <f t="shared" si="5"/>
        <v/>
      </c>
      <c r="K44" s="24"/>
      <c r="L44" s="24"/>
      <c r="M44" s="24" t="str">
        <f t="shared" si="6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7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3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6"/>
      <c r="AW44" s="10"/>
      <c r="AX44" s="10"/>
      <c r="AY44" s="10"/>
      <c r="AZ44" s="10"/>
      <c r="BA44" s="10"/>
      <c r="BB44" s="10"/>
      <c r="BC44" s="10"/>
      <c r="BD44" s="16"/>
      <c r="BE44" s="8" t="str">
        <f t="shared" si="8"/>
        <v/>
      </c>
      <c r="BF44" s="10"/>
      <c r="BG44" s="10"/>
      <c r="BH44" s="10"/>
      <c r="BI44" s="10"/>
      <c r="BJ44" s="10"/>
      <c r="BK44" s="10"/>
      <c r="BL44" s="10"/>
      <c r="BM44" s="16"/>
      <c r="BN44" s="10"/>
      <c r="BO44" s="10"/>
      <c r="BP44" s="10"/>
      <c r="BQ44" s="16"/>
      <c r="BR44" s="10"/>
      <c r="BS44" s="10"/>
    </row>
    <row r="45" spans="1:71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4"/>
        <v/>
      </c>
      <c r="G45" s="24"/>
      <c r="H45" s="12"/>
      <c r="I45" s="24"/>
      <c r="J45" s="8" t="str">
        <f t="shared" si="5"/>
        <v/>
      </c>
      <c r="K45" s="24"/>
      <c r="L45" s="24"/>
      <c r="M45" s="24" t="str">
        <f t="shared" si="6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7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3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6"/>
      <c r="AW45" s="10"/>
      <c r="AX45" s="10"/>
      <c r="AY45" s="10"/>
      <c r="AZ45" s="10"/>
      <c r="BA45" s="10"/>
      <c r="BB45" s="10"/>
      <c r="BC45" s="10"/>
      <c r="BD45" s="16"/>
      <c r="BE45" s="8" t="str">
        <f t="shared" si="8"/>
        <v/>
      </c>
      <c r="BF45" s="10"/>
      <c r="BG45" s="10"/>
      <c r="BH45" s="10"/>
      <c r="BI45" s="10"/>
      <c r="BJ45" s="10"/>
      <c r="BK45" s="10"/>
      <c r="BL45" s="10"/>
      <c r="BM45" s="16"/>
      <c r="BN45" s="10"/>
      <c r="BO45" s="10"/>
      <c r="BP45" s="10"/>
      <c r="BQ45" s="16"/>
      <c r="BR45" s="10"/>
      <c r="BS45" s="10"/>
    </row>
    <row r="46" spans="1:71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4"/>
        <v/>
      </c>
      <c r="G46" s="24"/>
      <c r="H46" s="12"/>
      <c r="I46" s="24"/>
      <c r="J46" s="8" t="str">
        <f t="shared" si="5"/>
        <v/>
      </c>
      <c r="K46" s="24"/>
      <c r="L46" s="24"/>
      <c r="M46" s="24" t="str">
        <f t="shared" si="6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7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3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6"/>
      <c r="AW46" s="10"/>
      <c r="AX46" s="10"/>
      <c r="AY46" s="10"/>
      <c r="AZ46" s="10"/>
      <c r="BA46" s="10"/>
      <c r="BB46" s="10"/>
      <c r="BC46" s="10"/>
      <c r="BD46" s="16"/>
      <c r="BE46" s="8" t="str">
        <f t="shared" si="8"/>
        <v/>
      </c>
      <c r="BF46" s="10"/>
      <c r="BG46" s="10"/>
      <c r="BH46" s="10"/>
      <c r="BI46" s="10"/>
      <c r="BJ46" s="10"/>
      <c r="BK46" s="10"/>
      <c r="BL46" s="10"/>
      <c r="BM46" s="16"/>
      <c r="BN46" s="10"/>
      <c r="BO46" s="10"/>
      <c r="BP46" s="10"/>
      <c r="BQ46" s="16"/>
      <c r="BR46" s="10"/>
      <c r="BS46" s="10"/>
    </row>
    <row r="47" spans="1:71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4"/>
        <v/>
      </c>
      <c r="G47" s="24"/>
      <c r="H47" s="12"/>
      <c r="I47" s="24"/>
      <c r="J47" s="8" t="str">
        <f t="shared" si="5"/>
        <v/>
      </c>
      <c r="K47" s="24"/>
      <c r="L47" s="24"/>
      <c r="M47" s="24" t="str">
        <f t="shared" si="6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7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3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6"/>
      <c r="AW47" s="10"/>
      <c r="AX47" s="10"/>
      <c r="AY47" s="10"/>
      <c r="AZ47" s="10"/>
      <c r="BA47" s="10"/>
      <c r="BB47" s="10"/>
      <c r="BC47" s="10"/>
      <c r="BD47" s="16"/>
      <c r="BE47" s="8" t="str">
        <f t="shared" si="8"/>
        <v/>
      </c>
      <c r="BF47" s="10"/>
      <c r="BG47" s="10"/>
      <c r="BH47" s="10"/>
      <c r="BI47" s="10"/>
      <c r="BJ47" s="10"/>
      <c r="BK47" s="10"/>
      <c r="BL47" s="10"/>
      <c r="BM47" s="16"/>
      <c r="BN47" s="10"/>
      <c r="BO47" s="10"/>
      <c r="BP47" s="10"/>
      <c r="BQ47" s="16"/>
      <c r="BR47" s="10"/>
      <c r="BS47" s="10"/>
    </row>
    <row r="48" spans="1:71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4"/>
        <v/>
      </c>
      <c r="G48" s="24"/>
      <c r="H48" s="12"/>
      <c r="I48" s="24"/>
      <c r="J48" s="8" t="str">
        <f t="shared" si="5"/>
        <v/>
      </c>
      <c r="K48" s="24"/>
      <c r="L48" s="24"/>
      <c r="M48" s="24" t="str">
        <f t="shared" si="6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7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3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6"/>
      <c r="AW48" s="10"/>
      <c r="AX48" s="10"/>
      <c r="AY48" s="10"/>
      <c r="AZ48" s="10"/>
      <c r="BA48" s="10"/>
      <c r="BB48" s="10"/>
      <c r="BC48" s="10"/>
      <c r="BD48" s="16"/>
      <c r="BE48" s="8" t="str">
        <f t="shared" si="8"/>
        <v/>
      </c>
      <c r="BF48" s="10"/>
      <c r="BG48" s="10"/>
      <c r="BH48" s="10"/>
      <c r="BI48" s="10"/>
      <c r="BJ48" s="10"/>
      <c r="BK48" s="10"/>
      <c r="BL48" s="10"/>
      <c r="BM48" s="16"/>
      <c r="BN48" s="10"/>
      <c r="BO48" s="10"/>
      <c r="BP48" s="10"/>
      <c r="BQ48" s="16"/>
      <c r="BR48" s="10"/>
      <c r="BS48" s="10"/>
    </row>
    <row r="49" spans="1:71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4"/>
        <v/>
      </c>
      <c r="G49" s="24"/>
      <c r="H49" s="12"/>
      <c r="I49" s="24"/>
      <c r="J49" s="8" t="str">
        <f t="shared" si="5"/>
        <v/>
      </c>
      <c r="K49" s="24"/>
      <c r="L49" s="24"/>
      <c r="M49" s="24" t="str">
        <f t="shared" si="6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7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3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6"/>
      <c r="AW49" s="10"/>
      <c r="AX49" s="10"/>
      <c r="AY49" s="10"/>
      <c r="AZ49" s="10"/>
      <c r="BA49" s="10"/>
      <c r="BB49" s="10"/>
      <c r="BC49" s="10"/>
      <c r="BD49" s="16"/>
      <c r="BE49" s="8" t="str">
        <f t="shared" si="8"/>
        <v/>
      </c>
      <c r="BF49" s="10"/>
      <c r="BG49" s="10"/>
      <c r="BH49" s="10"/>
      <c r="BI49" s="10"/>
      <c r="BJ49" s="10"/>
      <c r="BK49" s="10"/>
      <c r="BL49" s="10"/>
      <c r="BM49" s="16"/>
      <c r="BN49" s="10"/>
      <c r="BO49" s="10"/>
      <c r="BP49" s="10"/>
      <c r="BQ49" s="16"/>
      <c r="BR49" s="10"/>
      <c r="BS49" s="10"/>
    </row>
    <row r="50" spans="1:71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4"/>
        <v/>
      </c>
      <c r="G50" s="24"/>
      <c r="H50" s="12"/>
      <c r="I50" s="24"/>
      <c r="J50" s="8" t="str">
        <f t="shared" si="5"/>
        <v/>
      </c>
      <c r="K50" s="24"/>
      <c r="L50" s="24"/>
      <c r="M50" s="24" t="str">
        <f t="shared" si="6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7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3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6"/>
      <c r="AW50" s="10"/>
      <c r="AX50" s="10"/>
      <c r="AY50" s="10"/>
      <c r="AZ50" s="10"/>
      <c r="BA50" s="10"/>
      <c r="BB50" s="10"/>
      <c r="BC50" s="10"/>
      <c r="BD50" s="16"/>
      <c r="BE50" s="8" t="str">
        <f t="shared" si="8"/>
        <v/>
      </c>
      <c r="BF50" s="10"/>
      <c r="BG50" s="10"/>
      <c r="BH50" s="10"/>
      <c r="BI50" s="10"/>
      <c r="BJ50" s="10"/>
      <c r="BK50" s="10"/>
      <c r="BL50" s="10"/>
      <c r="BM50" s="16"/>
      <c r="BN50" s="10"/>
      <c r="BO50" s="10"/>
      <c r="BP50" s="10"/>
      <c r="BQ50" s="16"/>
      <c r="BR50" s="10"/>
      <c r="BS50" s="10"/>
    </row>
    <row r="51" spans="1:71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4"/>
        <v/>
      </c>
      <c r="G51" s="24"/>
      <c r="H51" s="12"/>
      <c r="I51" s="24"/>
      <c r="J51" s="8" t="str">
        <f t="shared" si="5"/>
        <v/>
      </c>
      <c r="K51" s="24"/>
      <c r="L51" s="24"/>
      <c r="M51" s="24" t="str">
        <f t="shared" si="6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7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3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6"/>
      <c r="AW51" s="10"/>
      <c r="AX51" s="10"/>
      <c r="AY51" s="10"/>
      <c r="AZ51" s="10"/>
      <c r="BA51" s="10"/>
      <c r="BB51" s="10"/>
      <c r="BC51" s="10"/>
      <c r="BD51" s="16"/>
      <c r="BE51" s="8" t="str">
        <f t="shared" si="8"/>
        <v/>
      </c>
      <c r="BF51" s="10"/>
      <c r="BG51" s="10"/>
      <c r="BH51" s="10"/>
      <c r="BI51" s="10"/>
      <c r="BJ51" s="10"/>
      <c r="BK51" s="10"/>
      <c r="BL51" s="10"/>
      <c r="BM51" s="16"/>
      <c r="BN51" s="10"/>
      <c r="BO51" s="10"/>
      <c r="BP51" s="10"/>
      <c r="BQ51" s="16"/>
      <c r="BR51" s="10"/>
      <c r="BS51" s="10"/>
    </row>
    <row r="52" spans="1:71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4"/>
        <v/>
      </c>
      <c r="G52" s="24"/>
      <c r="H52" s="12"/>
      <c r="I52" s="24"/>
      <c r="J52" s="8" t="str">
        <f t="shared" si="5"/>
        <v/>
      </c>
      <c r="K52" s="24"/>
      <c r="L52" s="24"/>
      <c r="M52" s="24" t="str">
        <f t="shared" si="6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7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3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6"/>
      <c r="AW52" s="10"/>
      <c r="AX52" s="10"/>
      <c r="AY52" s="10"/>
      <c r="AZ52" s="10"/>
      <c r="BA52" s="10"/>
      <c r="BB52" s="10"/>
      <c r="BC52" s="10"/>
      <c r="BD52" s="16"/>
      <c r="BE52" s="8" t="str">
        <f t="shared" si="8"/>
        <v/>
      </c>
      <c r="BF52" s="10"/>
      <c r="BG52" s="10"/>
      <c r="BH52" s="10"/>
      <c r="BI52" s="10"/>
      <c r="BJ52" s="10"/>
      <c r="BK52" s="10"/>
      <c r="BL52" s="10"/>
      <c r="BM52" s="16"/>
      <c r="BN52" s="10"/>
      <c r="BO52" s="10"/>
      <c r="BP52" s="10"/>
      <c r="BQ52" s="16"/>
      <c r="BR52" s="10"/>
      <c r="BS52" s="10"/>
    </row>
    <row r="53" spans="1:71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4"/>
        <v/>
      </c>
      <c r="G53" s="24"/>
      <c r="H53" s="12"/>
      <c r="I53" s="24"/>
      <c r="J53" s="8" t="str">
        <f t="shared" si="5"/>
        <v/>
      </c>
      <c r="K53" s="24"/>
      <c r="L53" s="24"/>
      <c r="M53" s="24" t="str">
        <f t="shared" si="6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7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3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6"/>
      <c r="AW53" s="10"/>
      <c r="AX53" s="10"/>
      <c r="AY53" s="10"/>
      <c r="AZ53" s="10"/>
      <c r="BA53" s="10"/>
      <c r="BB53" s="10"/>
      <c r="BC53" s="10"/>
      <c r="BD53" s="16"/>
      <c r="BE53" s="8"/>
      <c r="BF53" s="10"/>
      <c r="BG53" s="10"/>
      <c r="BH53" s="10"/>
      <c r="BI53" s="10"/>
      <c r="BJ53" s="10"/>
      <c r="BK53" s="10"/>
      <c r="BL53" s="10"/>
      <c r="BM53" s="16"/>
      <c r="BN53" s="10"/>
      <c r="BO53" s="10"/>
      <c r="BP53" s="10"/>
      <c r="BQ53" s="16"/>
      <c r="BR53" s="10"/>
      <c r="BS53" s="10"/>
    </row>
    <row r="54" spans="1:71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4"/>
        <v/>
      </c>
      <c r="G54" s="24"/>
      <c r="H54" s="12"/>
      <c r="I54" s="24"/>
      <c r="J54" s="8" t="str">
        <f t="shared" si="5"/>
        <v/>
      </c>
      <c r="K54" s="24"/>
      <c r="L54" s="24"/>
      <c r="M54" s="24" t="str">
        <f t="shared" si="6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7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3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6"/>
      <c r="AW54" s="10"/>
      <c r="AX54" s="10"/>
      <c r="AY54" s="10"/>
      <c r="AZ54" s="10"/>
      <c r="BA54" s="10"/>
      <c r="BB54" s="10"/>
      <c r="BC54" s="10"/>
      <c r="BD54" s="10"/>
      <c r="BE54" s="8"/>
      <c r="BF54" s="10"/>
      <c r="BG54" s="10"/>
      <c r="BH54" s="10"/>
      <c r="BI54" s="10"/>
      <c r="BJ54" s="10"/>
      <c r="BK54" s="10"/>
      <c r="BL54" s="10"/>
      <c r="BM54" s="16"/>
      <c r="BN54" s="10"/>
      <c r="BO54" s="10"/>
      <c r="BP54" s="10"/>
      <c r="BQ54" s="16"/>
      <c r="BR54" s="10"/>
      <c r="BS54" s="10"/>
    </row>
    <row r="55" spans="1:71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4"/>
        <v/>
      </c>
      <c r="G55" s="24"/>
      <c r="H55" s="12"/>
      <c r="I55" s="24"/>
      <c r="J55" s="8" t="str">
        <f t="shared" si="5"/>
        <v/>
      </c>
      <c r="K55" s="24"/>
      <c r="L55" s="24"/>
      <c r="M55" s="24" t="str">
        <f t="shared" si="6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7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3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6"/>
      <c r="AW55" s="10"/>
      <c r="AX55" s="10"/>
      <c r="AY55" s="10"/>
      <c r="AZ55" s="10"/>
      <c r="BA55" s="10"/>
      <c r="BB55" s="10"/>
      <c r="BC55" s="10"/>
      <c r="BD55" s="10"/>
      <c r="BE55" s="8"/>
      <c r="BF55" s="10"/>
      <c r="BG55" s="10"/>
      <c r="BH55" s="10"/>
      <c r="BI55" s="10"/>
      <c r="BJ55" s="10"/>
      <c r="BK55" s="10"/>
      <c r="BL55" s="10"/>
      <c r="BM55" s="16"/>
      <c r="BN55" s="10"/>
      <c r="BO55" s="10"/>
      <c r="BP55" s="10"/>
      <c r="BQ55" s="16"/>
      <c r="BR55" s="10"/>
      <c r="BS55" s="10"/>
    </row>
    <row r="56" spans="1:71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4"/>
        <v/>
      </c>
      <c r="G56" s="24"/>
      <c r="H56" s="12"/>
      <c r="I56" s="24"/>
      <c r="J56" s="8" t="str">
        <f t="shared" si="5"/>
        <v/>
      </c>
      <c r="K56" s="24"/>
      <c r="L56" s="24"/>
      <c r="M56" s="24" t="str">
        <f t="shared" si="6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7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3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6"/>
      <c r="AW56" s="10"/>
      <c r="AX56" s="10"/>
      <c r="AY56" s="10"/>
      <c r="AZ56" s="10"/>
      <c r="BA56" s="10"/>
      <c r="BB56" s="10"/>
      <c r="BC56" s="10"/>
      <c r="BD56" s="16"/>
      <c r="BE56" s="8" t="str">
        <f t="shared" ref="BE56" si="9">IF($BD56="", "", "IGO")</f>
        <v/>
      </c>
      <c r="BF56" s="10"/>
      <c r="BG56" s="10"/>
      <c r="BH56" s="10"/>
      <c r="BI56" s="10"/>
      <c r="BJ56" s="10"/>
      <c r="BK56" s="10"/>
      <c r="BL56" s="10"/>
      <c r="BM56" s="16"/>
      <c r="BN56" s="10"/>
      <c r="BO56" s="10"/>
      <c r="BP56" s="10"/>
      <c r="BQ56" s="16"/>
      <c r="BR56" s="10"/>
      <c r="BS56" s="10"/>
    </row>
    <row r="57" spans="1:71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4"/>
        <v/>
      </c>
      <c r="G57" s="24"/>
      <c r="H57" s="12"/>
      <c r="I57" s="24"/>
      <c r="J57" s="8" t="str">
        <f t="shared" si="5"/>
        <v/>
      </c>
      <c r="K57" s="24"/>
      <c r="L57" s="24"/>
      <c r="M57" s="24" t="str">
        <f t="shared" si="6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7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3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6"/>
      <c r="AW57" s="10"/>
      <c r="AX57" s="10"/>
      <c r="AY57" s="10"/>
      <c r="AZ57" s="10"/>
      <c r="BA57" s="10"/>
      <c r="BB57" s="10"/>
      <c r="BC57" s="10"/>
      <c r="BD57" s="16"/>
      <c r="BE57" s="8" t="str">
        <f t="shared" si="8"/>
        <v/>
      </c>
      <c r="BF57" s="10"/>
      <c r="BG57" s="10"/>
      <c r="BH57" s="10"/>
      <c r="BI57" s="10"/>
      <c r="BJ57" s="10"/>
      <c r="BK57" s="10"/>
      <c r="BL57" s="10"/>
      <c r="BM57" s="16"/>
      <c r="BN57" s="10"/>
      <c r="BO57" s="10"/>
      <c r="BP57" s="10"/>
      <c r="BQ57" s="16"/>
      <c r="BR57" s="10"/>
      <c r="BS57" s="10"/>
    </row>
    <row r="58" spans="1:71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4"/>
        <v/>
      </c>
      <c r="G58" s="24"/>
      <c r="H58" s="12"/>
      <c r="I58" s="24"/>
      <c r="J58" s="8" t="str">
        <f t="shared" si="5"/>
        <v/>
      </c>
      <c r="K58" s="24"/>
      <c r="L58" s="24"/>
      <c r="M58" s="24" t="str">
        <f t="shared" si="6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7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3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6"/>
      <c r="AW58" s="10"/>
      <c r="AX58" s="10"/>
      <c r="AY58" s="10"/>
      <c r="AZ58" s="10"/>
      <c r="BA58" s="10"/>
      <c r="BB58" s="10"/>
      <c r="BC58" s="10"/>
      <c r="BD58" s="16"/>
      <c r="BE58" s="8" t="str">
        <f t="shared" si="8"/>
        <v/>
      </c>
      <c r="BF58" s="10"/>
      <c r="BG58" s="10"/>
      <c r="BH58" s="10"/>
      <c r="BI58" s="10"/>
      <c r="BJ58" s="10"/>
      <c r="BK58" s="10"/>
      <c r="BL58" s="10"/>
      <c r="BM58" s="16"/>
      <c r="BN58" s="10"/>
      <c r="BO58" s="10"/>
      <c r="BP58" s="10"/>
      <c r="BQ58" s="16"/>
      <c r="BR58" s="10"/>
      <c r="BS58" s="10"/>
    </row>
    <row r="59" spans="1:71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4"/>
        <v/>
      </c>
      <c r="G59" s="24"/>
      <c r="H59" s="12"/>
      <c r="I59" s="24"/>
      <c r="J59" s="8" t="str">
        <f t="shared" si="5"/>
        <v/>
      </c>
      <c r="K59" s="24"/>
      <c r="L59" s="24"/>
      <c r="M59" s="24" t="str">
        <f t="shared" si="6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7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3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6"/>
      <c r="AW59" s="10"/>
      <c r="AX59" s="10"/>
      <c r="AY59" s="10"/>
      <c r="AZ59" s="10"/>
      <c r="BA59" s="10"/>
      <c r="BB59" s="10"/>
      <c r="BC59" s="10"/>
      <c r="BD59" s="16"/>
      <c r="BE59" s="8" t="str">
        <f t="shared" si="8"/>
        <v/>
      </c>
      <c r="BF59" s="10"/>
      <c r="BG59" s="10"/>
      <c r="BH59" s="10"/>
      <c r="BI59" s="10"/>
      <c r="BJ59" s="10"/>
      <c r="BK59" s="10"/>
      <c r="BL59" s="10"/>
      <c r="BM59" s="16"/>
      <c r="BN59" s="10"/>
      <c r="BO59" s="10"/>
      <c r="BP59" s="10"/>
      <c r="BQ59" s="16"/>
      <c r="BR59" s="10"/>
      <c r="BS59" s="10"/>
    </row>
    <row r="60" spans="1:71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4"/>
        <v/>
      </c>
      <c r="G60" s="24"/>
      <c r="H60" s="12"/>
      <c r="I60" s="24"/>
      <c r="J60" s="8" t="str">
        <f t="shared" si="5"/>
        <v/>
      </c>
      <c r="K60" s="24"/>
      <c r="L60" s="24"/>
      <c r="M60" s="24" t="str">
        <f t="shared" si="6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7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3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6"/>
      <c r="AW60" s="10"/>
      <c r="AX60" s="10"/>
      <c r="AY60" s="10"/>
      <c r="AZ60" s="10"/>
      <c r="BA60" s="10"/>
      <c r="BB60" s="10"/>
      <c r="BC60" s="10"/>
      <c r="BD60" s="16"/>
      <c r="BE60" s="8" t="str">
        <f t="shared" si="8"/>
        <v/>
      </c>
      <c r="BF60" s="10"/>
      <c r="BG60" s="10"/>
      <c r="BH60" s="10"/>
      <c r="BI60" s="10"/>
      <c r="BJ60" s="10"/>
      <c r="BK60" s="10"/>
      <c r="BL60" s="10"/>
      <c r="BM60" s="16"/>
      <c r="BN60" s="10"/>
      <c r="BO60" s="10"/>
      <c r="BP60" s="10"/>
      <c r="BQ60" s="16"/>
      <c r="BR60" s="10"/>
      <c r="BS60" s="10"/>
    </row>
    <row r="61" spans="1:71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4"/>
        <v/>
      </c>
      <c r="G61" s="24"/>
      <c r="H61" s="12"/>
      <c r="I61" s="24"/>
      <c r="J61" s="8" t="str">
        <f t="shared" si="5"/>
        <v/>
      </c>
      <c r="K61" s="24"/>
      <c r="L61" s="24"/>
      <c r="M61" s="24" t="str">
        <f t="shared" si="6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7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3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6"/>
      <c r="AW61" s="10"/>
      <c r="AX61" s="10"/>
      <c r="AY61" s="10"/>
      <c r="AZ61" s="10"/>
      <c r="BA61" s="10"/>
      <c r="BB61" s="10"/>
      <c r="BC61" s="10"/>
      <c r="BD61" s="16"/>
      <c r="BE61" s="8" t="str">
        <f t="shared" si="8"/>
        <v/>
      </c>
      <c r="BF61" s="10"/>
      <c r="BG61" s="10"/>
      <c r="BH61" s="10"/>
      <c r="BI61" s="10"/>
      <c r="BJ61" s="10"/>
      <c r="BK61" s="10"/>
      <c r="BL61" s="10"/>
      <c r="BM61" s="16"/>
      <c r="BN61" s="10"/>
      <c r="BO61" s="10"/>
      <c r="BP61" s="10"/>
      <c r="BQ61" s="16"/>
      <c r="BR61" s="10"/>
      <c r="BS61" s="10"/>
    </row>
    <row r="62" spans="1:71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4"/>
        <v/>
      </c>
      <c r="G62" s="24"/>
      <c r="H62" s="12"/>
      <c r="I62" s="24"/>
      <c r="J62" s="8" t="str">
        <f t="shared" si="5"/>
        <v/>
      </c>
      <c r="K62" s="24"/>
      <c r="L62" s="24"/>
      <c r="M62" s="24" t="str">
        <f t="shared" si="6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7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3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6"/>
      <c r="AW62" s="10"/>
      <c r="AX62" s="10"/>
      <c r="AY62" s="10"/>
      <c r="AZ62" s="10"/>
      <c r="BA62" s="10"/>
      <c r="BB62" s="10"/>
      <c r="BC62" s="10"/>
      <c r="BD62" s="16"/>
      <c r="BE62" s="8" t="str">
        <f t="shared" si="8"/>
        <v/>
      </c>
      <c r="BF62" s="10"/>
      <c r="BG62" s="10"/>
      <c r="BH62" s="10"/>
      <c r="BI62" s="10"/>
      <c r="BJ62" s="10"/>
      <c r="BK62" s="10"/>
      <c r="BL62" s="10"/>
      <c r="BM62" s="16"/>
      <c r="BN62" s="10"/>
      <c r="BO62" s="10"/>
      <c r="BP62" s="10"/>
      <c r="BQ62" s="16"/>
      <c r="BR62" s="10"/>
      <c r="BS62" s="10"/>
    </row>
    <row r="63" spans="1:71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4"/>
        <v/>
      </c>
      <c r="G63" s="24"/>
      <c r="H63" s="12"/>
      <c r="I63" s="24"/>
      <c r="J63" s="8" t="str">
        <f t="shared" si="5"/>
        <v/>
      </c>
      <c r="K63" s="24"/>
      <c r="L63" s="24"/>
      <c r="M63" s="24" t="str">
        <f t="shared" si="6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7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3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6"/>
      <c r="AW63" s="10"/>
      <c r="AX63" s="10"/>
      <c r="AY63" s="10"/>
      <c r="AZ63" s="10"/>
      <c r="BA63" s="10"/>
      <c r="BB63" s="10"/>
      <c r="BC63" s="10"/>
      <c r="BD63" s="16"/>
      <c r="BE63" s="8" t="str">
        <f t="shared" si="8"/>
        <v/>
      </c>
      <c r="BF63" s="10"/>
      <c r="BG63" s="10"/>
      <c r="BH63" s="10"/>
      <c r="BI63" s="10"/>
      <c r="BJ63" s="10"/>
      <c r="BK63" s="10"/>
      <c r="BL63" s="10"/>
      <c r="BM63" s="16"/>
      <c r="BN63" s="10"/>
      <c r="BO63" s="10"/>
      <c r="BP63" s="10"/>
      <c r="BQ63" s="16"/>
      <c r="BR63" s="10"/>
      <c r="BS63" s="10"/>
    </row>
    <row r="64" spans="1:71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4"/>
        <v/>
      </c>
      <c r="G64" s="24"/>
      <c r="H64" s="12"/>
      <c r="I64" s="24"/>
      <c r="J64" s="8" t="str">
        <f t="shared" si="5"/>
        <v/>
      </c>
      <c r="K64" s="24"/>
      <c r="L64" s="24"/>
      <c r="M64" s="24" t="str">
        <f t="shared" si="6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7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3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6"/>
      <c r="AW64" s="10"/>
      <c r="AX64" s="10"/>
      <c r="AY64" s="10"/>
      <c r="AZ64" s="10"/>
      <c r="BA64" s="10"/>
      <c r="BB64" s="10"/>
      <c r="BC64" s="10"/>
      <c r="BD64" s="16"/>
      <c r="BE64" s="8" t="str">
        <f t="shared" si="8"/>
        <v/>
      </c>
      <c r="BF64" s="10"/>
      <c r="BG64" s="10"/>
      <c r="BH64" s="10"/>
      <c r="BI64" s="10"/>
      <c r="BJ64" s="10"/>
      <c r="BK64" s="10"/>
      <c r="BL64" s="10"/>
      <c r="BM64" s="16"/>
      <c r="BN64" s="10"/>
      <c r="BO64" s="10"/>
      <c r="BP64" s="10"/>
      <c r="BQ64" s="16"/>
      <c r="BR64" s="10"/>
      <c r="BS64" s="10"/>
    </row>
    <row r="65" spans="1:71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4"/>
        <v/>
      </c>
      <c r="G65" s="24"/>
      <c r="H65" s="12"/>
      <c r="I65" s="24"/>
      <c r="J65" s="8" t="str">
        <f t="shared" si="5"/>
        <v/>
      </c>
      <c r="K65" s="24"/>
      <c r="L65" s="24"/>
      <c r="M65" s="24" t="str">
        <f t="shared" si="6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7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3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6"/>
      <c r="AW65" s="10"/>
      <c r="AX65" s="10"/>
      <c r="AY65" s="10"/>
      <c r="AZ65" s="10"/>
      <c r="BA65" s="10"/>
      <c r="BB65" s="10"/>
      <c r="BC65" s="10"/>
      <c r="BD65" s="16"/>
      <c r="BE65" s="8" t="str">
        <f t="shared" si="8"/>
        <v/>
      </c>
      <c r="BF65" s="10"/>
      <c r="BG65" s="10"/>
      <c r="BH65" s="10"/>
      <c r="BI65" s="10"/>
      <c r="BJ65" s="10"/>
      <c r="BK65" s="10"/>
      <c r="BL65" s="10"/>
      <c r="BM65" s="16"/>
      <c r="BN65" s="10"/>
      <c r="BO65" s="10"/>
      <c r="BP65" s="10"/>
      <c r="BQ65" s="16"/>
      <c r="BR65" s="10"/>
      <c r="BS65" s="10"/>
    </row>
    <row r="66" spans="1:71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4"/>
        <v/>
      </c>
      <c r="G66" s="24"/>
      <c r="H66" s="12"/>
      <c r="I66" s="24"/>
      <c r="J66" s="8" t="str">
        <f t="shared" si="5"/>
        <v/>
      </c>
      <c r="K66" s="24"/>
      <c r="L66" s="24"/>
      <c r="M66" s="24" t="str">
        <f t="shared" si="6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7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3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6"/>
      <c r="AW66" s="10"/>
      <c r="AX66" s="10"/>
      <c r="AY66" s="10"/>
      <c r="AZ66" s="10"/>
      <c r="BA66" s="10"/>
      <c r="BB66" s="10"/>
      <c r="BC66" s="10"/>
      <c r="BD66" s="16"/>
      <c r="BE66" s="8" t="str">
        <f t="shared" si="8"/>
        <v/>
      </c>
      <c r="BF66" s="10"/>
      <c r="BG66" s="10"/>
      <c r="BH66" s="10"/>
      <c r="BI66" s="10"/>
      <c r="BJ66" s="10"/>
      <c r="BK66" s="10"/>
      <c r="BL66" s="10"/>
      <c r="BM66" s="16"/>
      <c r="BN66" s="10"/>
      <c r="BO66" s="10"/>
      <c r="BP66" s="10"/>
      <c r="BQ66" s="16"/>
      <c r="BR66" s="10"/>
      <c r="BS66" s="10"/>
    </row>
    <row r="67" spans="1:71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4"/>
        <v/>
      </c>
      <c r="G67" s="24"/>
      <c r="H67" s="12"/>
      <c r="I67" s="24"/>
      <c r="J67" s="8" t="str">
        <f t="shared" si="5"/>
        <v/>
      </c>
      <c r="K67" s="24"/>
      <c r="L67" s="24"/>
      <c r="M67" s="24" t="str">
        <f t="shared" si="6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7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3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6"/>
      <c r="AW67" s="10"/>
      <c r="AX67" s="10"/>
      <c r="AY67" s="10"/>
      <c r="AZ67" s="10"/>
      <c r="BA67" s="10"/>
      <c r="BB67" s="10"/>
      <c r="BC67" s="10"/>
      <c r="BD67" s="16"/>
      <c r="BE67" s="8" t="str">
        <f t="shared" si="8"/>
        <v/>
      </c>
      <c r="BF67" s="10"/>
      <c r="BG67" s="10"/>
      <c r="BH67" s="10"/>
      <c r="BI67" s="10"/>
      <c r="BJ67" s="10"/>
      <c r="BK67" s="10"/>
      <c r="BL67" s="10"/>
      <c r="BM67" s="16"/>
      <c r="BN67" s="10"/>
      <c r="BO67" s="10"/>
      <c r="BP67" s="10"/>
      <c r="BQ67" s="16"/>
      <c r="BR67" s="10"/>
      <c r="BS67" s="10"/>
    </row>
    <row r="68" spans="1:71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4"/>
        <v/>
      </c>
      <c r="G68" s="24"/>
      <c r="H68" s="12"/>
      <c r="I68" s="24"/>
      <c r="J68" s="8" t="str">
        <f t="shared" si="5"/>
        <v/>
      </c>
      <c r="K68" s="24"/>
      <c r="L68" s="24"/>
      <c r="M68" s="24" t="str">
        <f t="shared" si="6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7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3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6"/>
      <c r="AW68" s="10"/>
      <c r="AX68" s="10"/>
      <c r="AY68" s="10"/>
      <c r="AZ68" s="10"/>
      <c r="BA68" s="10"/>
      <c r="BB68" s="10"/>
      <c r="BC68" s="10"/>
      <c r="BD68" s="16"/>
      <c r="BE68" s="8" t="str">
        <f t="shared" si="8"/>
        <v/>
      </c>
      <c r="BF68" s="10"/>
      <c r="BG68" s="10"/>
      <c r="BH68" s="10"/>
      <c r="BI68" s="10"/>
      <c r="BJ68" s="10"/>
      <c r="BK68" s="10"/>
      <c r="BL68" s="10"/>
      <c r="BM68" s="16"/>
      <c r="BN68" s="10"/>
      <c r="BO68" s="10"/>
      <c r="BP68" s="10"/>
      <c r="BQ68" s="16"/>
      <c r="BR68" s="10"/>
      <c r="BS68" s="10"/>
    </row>
    <row r="69" spans="1:71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4"/>
        <v/>
      </c>
      <c r="G69" s="24"/>
      <c r="H69" s="12"/>
      <c r="I69" s="24"/>
      <c r="J69" s="8" t="str">
        <f t="shared" si="5"/>
        <v/>
      </c>
      <c r="K69" s="24"/>
      <c r="L69" s="24"/>
      <c r="M69" s="24" t="str">
        <f t="shared" si="6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7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3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6"/>
      <c r="AW69" s="10"/>
      <c r="AX69" s="10"/>
      <c r="AY69" s="10"/>
      <c r="AZ69" s="10"/>
      <c r="BA69" s="10"/>
      <c r="BB69" s="10"/>
      <c r="BC69" s="10"/>
      <c r="BD69" s="16"/>
      <c r="BE69" s="8" t="str">
        <f t="shared" si="8"/>
        <v/>
      </c>
      <c r="BF69" s="10"/>
      <c r="BG69" s="10"/>
      <c r="BH69" s="10"/>
      <c r="BI69" s="10"/>
      <c r="BJ69" s="10"/>
      <c r="BK69" s="10"/>
      <c r="BL69" s="10"/>
      <c r="BM69" s="16"/>
      <c r="BN69" s="10"/>
      <c r="BO69" s="10"/>
      <c r="BP69" s="10"/>
      <c r="BQ69" s="16"/>
      <c r="BR69" s="10"/>
      <c r="BS69" s="10"/>
    </row>
    <row r="70" spans="1:71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4"/>
        <v/>
      </c>
      <c r="G70" s="24"/>
      <c r="H70" s="12"/>
      <c r="I70" s="24"/>
      <c r="J70" s="8" t="str">
        <f t="shared" si="5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7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3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6"/>
      <c r="AW70" s="10"/>
      <c r="AX70" s="10"/>
      <c r="AY70" s="10"/>
      <c r="AZ70" s="10"/>
      <c r="BA70" s="10"/>
      <c r="BB70" s="10"/>
      <c r="BC70" s="10"/>
      <c r="BD70" s="16"/>
      <c r="BE70" s="8" t="str">
        <f t="shared" si="8"/>
        <v/>
      </c>
      <c r="BF70" s="10"/>
      <c r="BG70" s="10"/>
      <c r="BH70" s="10"/>
      <c r="BI70" s="10"/>
      <c r="BJ70" s="10"/>
      <c r="BK70" s="10"/>
      <c r="BL70" s="10"/>
      <c r="BM70" s="16"/>
      <c r="BN70" s="10"/>
      <c r="BO70" s="10"/>
      <c r="BP70" s="10"/>
      <c r="BQ70" s="16"/>
      <c r="BR70" s="10"/>
      <c r="BS70" s="10"/>
    </row>
    <row r="71" spans="1:71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1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2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7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3"/>
        <v/>
      </c>
      <c r="AH71" s="10"/>
      <c r="AI71" s="8" t="str">
        <f t="shared" ref="AI71:AI100" ca="1" si="13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6"/>
      <c r="AW71" s="10"/>
      <c r="AX71" s="10"/>
      <c r="AY71" s="10"/>
      <c r="AZ71" s="10"/>
      <c r="BA71" s="10"/>
      <c r="BB71" s="10"/>
      <c r="BC71" s="10"/>
      <c r="BD71" s="16"/>
      <c r="BE71" s="8" t="str">
        <f t="shared" si="8"/>
        <v/>
      </c>
      <c r="BF71" s="10"/>
      <c r="BG71" s="10"/>
      <c r="BH71" s="10"/>
      <c r="BI71" s="10"/>
      <c r="BJ71" s="10"/>
      <c r="BK71" s="10"/>
      <c r="BL71" s="10"/>
      <c r="BM71" s="16"/>
      <c r="BN71" s="10"/>
      <c r="BO71" s="10"/>
      <c r="BP71" s="10"/>
      <c r="BQ71" s="16"/>
      <c r="BR71" s="10"/>
      <c r="BS71" s="10"/>
    </row>
    <row r="72" spans="1:71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1"/>
        <v/>
      </c>
      <c r="G72" s="24"/>
      <c r="H72" s="12"/>
      <c r="I72" s="24"/>
      <c r="J72" s="8" t="str">
        <f t="shared" si="12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3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6"/>
      <c r="AW72" s="10"/>
      <c r="AX72" s="10"/>
      <c r="AY72" s="10"/>
      <c r="AZ72" s="10"/>
      <c r="BA72" s="10"/>
      <c r="BB72" s="10"/>
      <c r="BC72" s="10"/>
      <c r="BD72" s="16"/>
      <c r="BE72" s="8" t="str">
        <f t="shared" si="8"/>
        <v/>
      </c>
      <c r="BF72" s="10"/>
      <c r="BG72" s="10"/>
      <c r="BH72" s="10"/>
      <c r="BI72" s="10"/>
      <c r="BJ72" s="10"/>
      <c r="BK72" s="10"/>
      <c r="BL72" s="10"/>
      <c r="BM72" s="16"/>
      <c r="BN72" s="10"/>
      <c r="BO72" s="10"/>
      <c r="BP72" s="10"/>
      <c r="BQ72" s="16"/>
      <c r="BR72" s="10"/>
      <c r="BS72" s="10"/>
    </row>
    <row r="73" spans="1:71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1"/>
        <v/>
      </c>
      <c r="G73" s="24"/>
      <c r="H73" s="12"/>
      <c r="I73" s="24"/>
      <c r="J73" s="8" t="str">
        <f t="shared" si="12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3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6"/>
      <c r="AW73" s="10"/>
      <c r="AX73" s="10"/>
      <c r="AY73" s="10"/>
      <c r="AZ73" s="10"/>
      <c r="BA73" s="10"/>
      <c r="BB73" s="10"/>
      <c r="BC73" s="10"/>
      <c r="BD73" s="16"/>
      <c r="BE73" s="8" t="str">
        <f t="shared" si="8"/>
        <v/>
      </c>
      <c r="BF73" s="10"/>
      <c r="BG73" s="10"/>
      <c r="BH73" s="10"/>
      <c r="BI73" s="10"/>
      <c r="BJ73" s="10"/>
      <c r="BK73" s="10"/>
      <c r="BL73" s="10"/>
      <c r="BM73" s="16"/>
      <c r="BN73" s="10"/>
      <c r="BO73" s="10"/>
      <c r="BP73" s="10"/>
      <c r="BQ73" s="16"/>
      <c r="BR73" s="10"/>
      <c r="BS73" s="10"/>
    </row>
    <row r="74" spans="1:71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1"/>
        <v/>
      </c>
      <c r="G74" s="24"/>
      <c r="H74" s="12"/>
      <c r="I74" s="24"/>
      <c r="J74" s="8" t="str">
        <f t="shared" si="12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3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6"/>
      <c r="AW74" s="10"/>
      <c r="AX74" s="10"/>
      <c r="AY74" s="10"/>
      <c r="AZ74" s="10"/>
      <c r="BA74" s="10"/>
      <c r="BB74" s="10"/>
      <c r="BC74" s="10"/>
      <c r="BD74" s="16"/>
      <c r="BE74" s="8" t="str">
        <f t="shared" si="8"/>
        <v/>
      </c>
      <c r="BF74" s="10"/>
      <c r="BG74" s="10"/>
      <c r="BH74" s="10"/>
      <c r="BI74" s="10"/>
      <c r="BJ74" s="10"/>
      <c r="BK74" s="10"/>
      <c r="BL74" s="10"/>
      <c r="BM74" s="16"/>
      <c r="BN74" s="10"/>
      <c r="BO74" s="10"/>
      <c r="BP74" s="10"/>
      <c r="BQ74" s="16"/>
      <c r="BR74" s="10"/>
      <c r="BS74" s="10"/>
    </row>
    <row r="75" spans="1:71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1"/>
        <v/>
      </c>
      <c r="G75" s="24"/>
      <c r="H75" s="12"/>
      <c r="I75" s="24"/>
      <c r="J75" s="8" t="str">
        <f t="shared" si="12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3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6"/>
      <c r="AW75" s="10"/>
      <c r="AX75" s="10"/>
      <c r="AY75" s="10"/>
      <c r="AZ75" s="10"/>
      <c r="BA75" s="10"/>
      <c r="BB75" s="10"/>
      <c r="BC75" s="10"/>
      <c r="BD75" s="16"/>
      <c r="BE75" s="8" t="str">
        <f t="shared" si="8"/>
        <v/>
      </c>
      <c r="BF75" s="10"/>
      <c r="BG75" s="10"/>
      <c r="BH75" s="10"/>
      <c r="BI75" s="10"/>
      <c r="BJ75" s="10"/>
      <c r="BK75" s="10"/>
      <c r="BL75" s="10"/>
      <c r="BM75" s="16"/>
      <c r="BN75" s="10"/>
      <c r="BO75" s="10"/>
      <c r="BP75" s="10"/>
      <c r="BQ75" s="16"/>
      <c r="BR75" s="10"/>
      <c r="BS75" s="10"/>
    </row>
    <row r="76" spans="1:71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1"/>
        <v/>
      </c>
      <c r="G76" s="24"/>
      <c r="H76" s="12"/>
      <c r="I76" s="24"/>
      <c r="J76" s="8" t="str">
        <f t="shared" si="12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3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6"/>
      <c r="AW76" s="10"/>
      <c r="AX76" s="10"/>
      <c r="AY76" s="10"/>
      <c r="AZ76" s="10"/>
      <c r="BA76" s="10"/>
      <c r="BB76" s="10"/>
      <c r="BC76" s="10"/>
      <c r="BD76" s="16"/>
      <c r="BE76" s="8" t="str">
        <f t="shared" si="8"/>
        <v/>
      </c>
      <c r="BF76" s="10"/>
      <c r="BG76" s="10"/>
      <c r="BH76" s="10"/>
      <c r="BI76" s="10"/>
      <c r="BJ76" s="10"/>
      <c r="BK76" s="10"/>
      <c r="BL76" s="10"/>
      <c r="BM76" s="16"/>
      <c r="BN76" s="10"/>
      <c r="BO76" s="10"/>
      <c r="BP76" s="10"/>
      <c r="BQ76" s="16"/>
      <c r="BR76" s="10"/>
      <c r="BS76" s="10"/>
    </row>
    <row r="77" spans="1:71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1"/>
        <v/>
      </c>
      <c r="G77" s="24"/>
      <c r="H77" s="12"/>
      <c r="I77" s="24"/>
      <c r="J77" s="8" t="str">
        <f t="shared" si="12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3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6"/>
      <c r="AW77" s="10"/>
      <c r="AX77" s="10"/>
      <c r="AY77" s="10"/>
      <c r="AZ77" s="10"/>
      <c r="BA77" s="10"/>
      <c r="BB77" s="10"/>
      <c r="BC77" s="10"/>
      <c r="BD77" s="16"/>
      <c r="BE77" s="8" t="str">
        <f t="shared" si="8"/>
        <v/>
      </c>
      <c r="BF77" s="10"/>
      <c r="BG77" s="10"/>
      <c r="BH77" s="10"/>
      <c r="BI77" s="10"/>
      <c r="BJ77" s="10"/>
      <c r="BK77" s="10"/>
      <c r="BL77" s="10"/>
      <c r="BM77" s="16"/>
      <c r="BN77" s="10"/>
      <c r="BO77" s="10"/>
      <c r="BP77" s="10"/>
      <c r="BQ77" s="16"/>
      <c r="BR77" s="10"/>
      <c r="BS77" s="10"/>
    </row>
    <row r="78" spans="1:71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1"/>
        <v/>
      </c>
      <c r="G78" s="24"/>
      <c r="H78" s="12"/>
      <c r="I78" s="24"/>
      <c r="J78" s="8" t="str">
        <f t="shared" si="12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3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6"/>
      <c r="AW78" s="10"/>
      <c r="AX78" s="10"/>
      <c r="AY78" s="10"/>
      <c r="AZ78" s="10"/>
      <c r="BA78" s="10"/>
      <c r="BB78" s="10"/>
      <c r="BC78" s="10"/>
      <c r="BD78" s="16"/>
      <c r="BE78" s="8"/>
      <c r="BF78" s="10"/>
      <c r="BG78" s="10"/>
      <c r="BH78" s="10"/>
      <c r="BI78" s="10"/>
      <c r="BJ78" s="10"/>
      <c r="BK78" s="10"/>
      <c r="BL78" s="10"/>
      <c r="BM78" s="16"/>
      <c r="BN78" s="10"/>
      <c r="BO78" s="10"/>
      <c r="BP78" s="10"/>
      <c r="BQ78" s="16"/>
      <c r="BR78" s="10"/>
      <c r="BS78" s="10"/>
    </row>
    <row r="79" spans="1:71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1"/>
        <v/>
      </c>
      <c r="G79" s="24"/>
      <c r="H79" s="12"/>
      <c r="I79" s="24"/>
      <c r="J79" s="8" t="str">
        <f t="shared" si="12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3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6"/>
      <c r="AW79" s="10"/>
      <c r="AX79" s="10"/>
      <c r="AY79" s="10"/>
      <c r="AZ79" s="10"/>
      <c r="BA79" s="10"/>
      <c r="BB79" s="10"/>
      <c r="BC79" s="10"/>
      <c r="BD79" s="10"/>
      <c r="BE79" s="8"/>
      <c r="BF79" s="10"/>
      <c r="BG79" s="10"/>
      <c r="BH79" s="10"/>
      <c r="BI79" s="10"/>
      <c r="BJ79" s="10"/>
      <c r="BK79" s="10"/>
      <c r="BL79" s="10"/>
      <c r="BM79" s="16"/>
      <c r="BN79" s="10"/>
      <c r="BO79" s="10"/>
      <c r="BP79" s="10"/>
      <c r="BQ79" s="16"/>
      <c r="BR79" s="10"/>
      <c r="BS79" s="10"/>
    </row>
    <row r="80" spans="1:71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1"/>
        <v/>
      </c>
      <c r="G80" s="24"/>
      <c r="H80" s="12"/>
      <c r="I80" s="24"/>
      <c r="J80" s="8" t="str">
        <f t="shared" si="12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3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6"/>
      <c r="AW80" s="10"/>
      <c r="AX80" s="10"/>
      <c r="AY80" s="10"/>
      <c r="AZ80" s="10"/>
      <c r="BA80" s="10"/>
      <c r="BB80" s="10"/>
      <c r="BC80" s="10"/>
      <c r="BD80" s="10"/>
      <c r="BE80" s="8"/>
      <c r="BF80" s="10"/>
      <c r="BG80" s="10"/>
      <c r="BH80" s="10"/>
      <c r="BI80" s="10"/>
      <c r="BJ80" s="10"/>
      <c r="BK80" s="10"/>
      <c r="BL80" s="10"/>
      <c r="BM80" s="16"/>
      <c r="BN80" s="10"/>
      <c r="BO80" s="10"/>
      <c r="BP80" s="10"/>
      <c r="BQ80" s="16"/>
      <c r="BR80" s="10"/>
      <c r="BS80" s="10"/>
    </row>
    <row r="81" spans="1:71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1"/>
        <v/>
      </c>
      <c r="G81" s="24"/>
      <c r="H81" s="12"/>
      <c r="I81" s="24"/>
      <c r="J81" s="8" t="str">
        <f t="shared" si="12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3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6"/>
      <c r="AW81" s="10"/>
      <c r="AX81" s="10"/>
      <c r="AY81" s="10"/>
      <c r="AZ81" s="10"/>
      <c r="BA81" s="10"/>
      <c r="BB81" s="10"/>
      <c r="BC81" s="10"/>
      <c r="BD81" s="16"/>
      <c r="BE81" s="8" t="str">
        <f t="shared" ref="BE81" si="16">IF($BD81="", "", "IGO")</f>
        <v/>
      </c>
      <c r="BF81" s="10"/>
      <c r="BG81" s="10"/>
      <c r="BH81" s="10"/>
      <c r="BI81" s="10"/>
      <c r="BJ81" s="10"/>
      <c r="BK81" s="10"/>
      <c r="BL81" s="10"/>
      <c r="BM81" s="16"/>
      <c r="BN81" s="10"/>
      <c r="BO81" s="10"/>
      <c r="BP81" s="10"/>
      <c r="BQ81" s="16"/>
      <c r="BR81" s="10"/>
      <c r="BS81" s="10"/>
    </row>
    <row r="82" spans="1:71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1"/>
        <v/>
      </c>
      <c r="G82" s="24"/>
      <c r="H82" s="12"/>
      <c r="I82" s="24"/>
      <c r="J82" s="8" t="str">
        <f t="shared" si="12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3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6"/>
      <c r="AW82" s="10"/>
      <c r="AX82" s="10"/>
      <c r="AY82" s="10"/>
      <c r="AZ82" s="10"/>
      <c r="BA82" s="10"/>
      <c r="BB82" s="10"/>
      <c r="BC82" s="10"/>
      <c r="BD82" s="16"/>
      <c r="BE82" s="8" t="str">
        <f t="shared" si="8"/>
        <v/>
      </c>
      <c r="BF82" s="10"/>
      <c r="BG82" s="10"/>
      <c r="BH82" s="10"/>
      <c r="BI82" s="10"/>
      <c r="BJ82" s="10"/>
      <c r="BK82" s="10"/>
      <c r="BL82" s="10"/>
      <c r="BM82" s="16"/>
      <c r="BN82" s="10"/>
      <c r="BO82" s="10"/>
      <c r="BP82" s="10"/>
      <c r="BQ82" s="16"/>
      <c r="BR82" s="10"/>
      <c r="BS82" s="10"/>
    </row>
    <row r="83" spans="1:71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1"/>
        <v/>
      </c>
      <c r="G83" s="24"/>
      <c r="H83" s="12"/>
      <c r="I83" s="24"/>
      <c r="J83" s="8" t="str">
        <f t="shared" si="12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3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6"/>
      <c r="AW83" s="10"/>
      <c r="AX83" s="10"/>
      <c r="AY83" s="10"/>
      <c r="AZ83" s="10"/>
      <c r="BA83" s="10"/>
      <c r="BB83" s="10"/>
      <c r="BC83" s="10"/>
      <c r="BD83" s="16"/>
      <c r="BE83" s="8" t="str">
        <f t="shared" si="8"/>
        <v/>
      </c>
      <c r="BF83" s="10"/>
      <c r="BG83" s="10"/>
      <c r="BH83" s="10"/>
      <c r="BI83" s="10"/>
      <c r="BJ83" s="10"/>
      <c r="BK83" s="10"/>
      <c r="BL83" s="10"/>
      <c r="BM83" s="16"/>
      <c r="BN83" s="10"/>
      <c r="BO83" s="10"/>
      <c r="BP83" s="10"/>
      <c r="BQ83" s="16"/>
      <c r="BR83" s="10"/>
      <c r="BS83" s="10"/>
    </row>
    <row r="84" spans="1:71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1"/>
        <v/>
      </c>
      <c r="G84" s="24"/>
      <c r="H84" s="12"/>
      <c r="I84" s="24"/>
      <c r="J84" s="8" t="str">
        <f t="shared" si="12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3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6"/>
      <c r="AW84" s="10"/>
      <c r="AX84" s="10"/>
      <c r="AY84" s="10"/>
      <c r="AZ84" s="10"/>
      <c r="BA84" s="10"/>
      <c r="BB84" s="10"/>
      <c r="BC84" s="10"/>
      <c r="BD84" s="16"/>
      <c r="BE84" s="8" t="str">
        <f t="shared" si="8"/>
        <v/>
      </c>
      <c r="BF84" s="10"/>
      <c r="BG84" s="10"/>
      <c r="BH84" s="10"/>
      <c r="BI84" s="10"/>
      <c r="BJ84" s="10"/>
      <c r="BK84" s="10"/>
      <c r="BL84" s="10"/>
      <c r="BM84" s="16"/>
      <c r="BN84" s="10"/>
      <c r="BO84" s="10"/>
      <c r="BP84" s="10"/>
      <c r="BQ84" s="16"/>
      <c r="BR84" s="10"/>
      <c r="BS84" s="10"/>
    </row>
    <row r="85" spans="1:71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1"/>
        <v/>
      </c>
      <c r="G85" s="24"/>
      <c r="H85" s="12"/>
      <c r="I85" s="24"/>
      <c r="J85" s="8" t="str">
        <f t="shared" si="12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3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6"/>
      <c r="AW85" s="10"/>
      <c r="AX85" s="10"/>
      <c r="AY85" s="10"/>
      <c r="AZ85" s="10"/>
      <c r="BA85" s="10"/>
      <c r="BB85" s="10"/>
      <c r="BC85" s="10"/>
      <c r="BD85" s="16"/>
      <c r="BE85" s="8" t="str">
        <f t="shared" si="8"/>
        <v/>
      </c>
      <c r="BF85" s="10"/>
      <c r="BG85" s="10"/>
      <c r="BH85" s="10"/>
      <c r="BI85" s="10"/>
      <c r="BJ85" s="10"/>
      <c r="BK85" s="10"/>
      <c r="BL85" s="10"/>
      <c r="BM85" s="16"/>
      <c r="BN85" s="10"/>
      <c r="BO85" s="10"/>
      <c r="BP85" s="10"/>
      <c r="BQ85" s="16"/>
      <c r="BR85" s="10"/>
      <c r="BS85" s="10"/>
    </row>
    <row r="86" spans="1:71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1"/>
        <v/>
      </c>
      <c r="G86" s="24"/>
      <c r="H86" s="12"/>
      <c r="I86" s="24"/>
      <c r="J86" s="8" t="str">
        <f t="shared" si="12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3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6"/>
      <c r="AW86" s="10"/>
      <c r="AX86" s="10"/>
      <c r="AY86" s="10"/>
      <c r="AZ86" s="10"/>
      <c r="BA86" s="10"/>
      <c r="BB86" s="10"/>
      <c r="BC86" s="10"/>
      <c r="BD86" s="16"/>
      <c r="BE86" s="8" t="str">
        <f t="shared" si="8"/>
        <v/>
      </c>
      <c r="BF86" s="10"/>
      <c r="BG86" s="10"/>
      <c r="BH86" s="10"/>
      <c r="BI86" s="10"/>
      <c r="BJ86" s="10"/>
      <c r="BK86" s="10"/>
      <c r="BL86" s="10"/>
      <c r="BM86" s="16"/>
      <c r="BN86" s="10"/>
      <c r="BO86" s="10"/>
      <c r="BP86" s="10"/>
      <c r="BQ86" s="16"/>
      <c r="BR86" s="10"/>
      <c r="BS86" s="10"/>
    </row>
    <row r="87" spans="1:71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1"/>
        <v/>
      </c>
      <c r="G87" s="24"/>
      <c r="H87" s="12"/>
      <c r="I87" s="24"/>
      <c r="J87" s="8" t="str">
        <f t="shared" si="12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3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6"/>
      <c r="AW87" s="10"/>
      <c r="AX87" s="10"/>
      <c r="AY87" s="10"/>
      <c r="AZ87" s="10"/>
      <c r="BA87" s="10"/>
      <c r="BB87" s="10"/>
      <c r="BC87" s="10"/>
      <c r="BD87" s="16"/>
      <c r="BE87" s="8" t="str">
        <f t="shared" si="8"/>
        <v/>
      </c>
      <c r="BF87" s="10"/>
      <c r="BG87" s="10"/>
      <c r="BH87" s="10"/>
      <c r="BI87" s="10"/>
      <c r="BJ87" s="10"/>
      <c r="BK87" s="10"/>
      <c r="BL87" s="10"/>
      <c r="BM87" s="16"/>
      <c r="BN87" s="10"/>
      <c r="BO87" s="10"/>
      <c r="BP87" s="10"/>
      <c r="BQ87" s="16"/>
      <c r="BR87" s="10"/>
      <c r="BS87" s="10"/>
    </row>
    <row r="88" spans="1:71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1"/>
        <v/>
      </c>
      <c r="G88" s="24"/>
      <c r="H88" s="12"/>
      <c r="I88" s="24"/>
      <c r="J88" s="8" t="str">
        <f t="shared" si="12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3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6"/>
      <c r="AW88" s="10"/>
      <c r="AX88" s="10"/>
      <c r="AY88" s="10"/>
      <c r="AZ88" s="10"/>
      <c r="BA88" s="10"/>
      <c r="BB88" s="10"/>
      <c r="BC88" s="10"/>
      <c r="BD88" s="16"/>
      <c r="BE88" s="8" t="str">
        <f t="shared" si="8"/>
        <v/>
      </c>
      <c r="BF88" s="10"/>
      <c r="BG88" s="10"/>
      <c r="BH88" s="10"/>
      <c r="BI88" s="10"/>
      <c r="BJ88" s="10"/>
      <c r="BK88" s="10"/>
      <c r="BL88" s="10"/>
      <c r="BM88" s="16"/>
      <c r="BN88" s="10"/>
      <c r="BO88" s="10"/>
      <c r="BP88" s="10"/>
      <c r="BQ88" s="16"/>
      <c r="BR88" s="10"/>
      <c r="BS88" s="10"/>
    </row>
    <row r="89" spans="1:71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1"/>
        <v/>
      </c>
      <c r="G89" s="24"/>
      <c r="H89" s="12"/>
      <c r="I89" s="24"/>
      <c r="J89" s="8" t="str">
        <f t="shared" si="12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3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6"/>
      <c r="AW89" s="10"/>
      <c r="AX89" s="10"/>
      <c r="AY89" s="10"/>
      <c r="AZ89" s="10"/>
      <c r="BA89" s="10"/>
      <c r="BB89" s="10"/>
      <c r="BC89" s="10"/>
      <c r="BD89" s="16"/>
      <c r="BE89" s="8" t="str">
        <f t="shared" si="8"/>
        <v/>
      </c>
      <c r="BF89" s="10"/>
      <c r="BG89" s="10"/>
      <c r="BH89" s="10"/>
      <c r="BI89" s="10"/>
      <c r="BJ89" s="10"/>
      <c r="BK89" s="10"/>
      <c r="BL89" s="10"/>
      <c r="BM89" s="16"/>
      <c r="BN89" s="10"/>
      <c r="BO89" s="10"/>
      <c r="BP89" s="10"/>
      <c r="BQ89" s="16"/>
      <c r="BR89" s="10"/>
      <c r="BS89" s="10"/>
    </row>
    <row r="90" spans="1:71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1"/>
        <v/>
      </c>
      <c r="G90" s="24"/>
      <c r="H90" s="12"/>
      <c r="I90" s="24"/>
      <c r="J90" s="8" t="str">
        <f t="shared" si="12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3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6"/>
      <c r="AW90" s="10"/>
      <c r="AX90" s="10"/>
      <c r="AY90" s="10"/>
      <c r="AZ90" s="10"/>
      <c r="BA90" s="10"/>
      <c r="BB90" s="10"/>
      <c r="BC90" s="10"/>
      <c r="BD90" s="16"/>
      <c r="BE90" s="8" t="str">
        <f t="shared" si="8"/>
        <v/>
      </c>
      <c r="BF90" s="10"/>
      <c r="BG90" s="10"/>
      <c r="BH90" s="10"/>
      <c r="BI90" s="10"/>
      <c r="BJ90" s="10"/>
      <c r="BK90" s="10"/>
      <c r="BL90" s="10"/>
      <c r="BM90" s="16"/>
      <c r="BN90" s="10"/>
      <c r="BO90" s="10"/>
      <c r="BP90" s="10"/>
      <c r="BQ90" s="16"/>
      <c r="BR90" s="10"/>
      <c r="BS90" s="10"/>
    </row>
    <row r="91" spans="1:71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1"/>
        <v/>
      </c>
      <c r="G91" s="24"/>
      <c r="H91" s="12"/>
      <c r="I91" s="24"/>
      <c r="J91" s="8" t="str">
        <f t="shared" si="12"/>
        <v/>
      </c>
      <c r="K91" s="24"/>
      <c r="L91" s="24"/>
      <c r="M91" s="24" t="str">
        <f t="shared" si="10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3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6"/>
      <c r="AW91" s="10"/>
      <c r="AX91" s="10"/>
      <c r="AY91" s="10"/>
      <c r="AZ91" s="10"/>
      <c r="BA91" s="10"/>
      <c r="BB91" s="10"/>
      <c r="BC91" s="10"/>
      <c r="BD91" s="16"/>
      <c r="BE91" s="8" t="str">
        <f t="shared" si="8"/>
        <v/>
      </c>
      <c r="BF91" s="10"/>
      <c r="BG91" s="10"/>
      <c r="BH91" s="10"/>
      <c r="BI91" s="10"/>
      <c r="BJ91" s="10"/>
      <c r="BK91" s="10"/>
      <c r="BL91" s="10"/>
      <c r="BM91" s="16"/>
      <c r="BN91" s="10"/>
      <c r="BO91" s="10"/>
      <c r="BP91" s="10"/>
      <c r="BQ91" s="16"/>
      <c r="BR91" s="10"/>
      <c r="BS91" s="10"/>
    </row>
    <row r="92" spans="1:71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1"/>
        <v/>
      </c>
      <c r="G92" s="24"/>
      <c r="H92" s="12"/>
      <c r="I92" s="24"/>
      <c r="J92" s="8" t="str">
        <f t="shared" si="12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3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6"/>
      <c r="AW92" s="10"/>
      <c r="AX92" s="10"/>
      <c r="AY92" s="10"/>
      <c r="AZ92" s="10"/>
      <c r="BA92" s="10"/>
      <c r="BB92" s="10"/>
      <c r="BC92" s="10"/>
      <c r="BD92" s="16"/>
      <c r="BE92" s="8" t="str">
        <f t="shared" si="8"/>
        <v/>
      </c>
      <c r="BF92" s="10"/>
      <c r="BG92" s="10"/>
      <c r="BH92" s="10"/>
      <c r="BI92" s="10"/>
      <c r="BJ92" s="10"/>
      <c r="BK92" s="10"/>
      <c r="BL92" s="10"/>
      <c r="BM92" s="16"/>
      <c r="BN92" s="10"/>
      <c r="BO92" s="10"/>
      <c r="BP92" s="10"/>
      <c r="BQ92" s="16"/>
      <c r="BR92" s="10"/>
      <c r="BS92" s="10"/>
    </row>
    <row r="93" spans="1:71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1"/>
        <v/>
      </c>
      <c r="G93" s="24"/>
      <c r="H93" s="12"/>
      <c r="I93" s="24"/>
      <c r="J93" s="8" t="str">
        <f t="shared" si="12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3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6"/>
      <c r="AW93" s="10"/>
      <c r="AX93" s="10"/>
      <c r="AY93" s="10"/>
      <c r="AZ93" s="10"/>
      <c r="BA93" s="10"/>
      <c r="BB93" s="10"/>
      <c r="BC93" s="10"/>
      <c r="BD93" s="16"/>
      <c r="BE93" s="8" t="str">
        <f t="shared" si="8"/>
        <v/>
      </c>
      <c r="BF93" s="10"/>
      <c r="BG93" s="10"/>
      <c r="BH93" s="10"/>
      <c r="BI93" s="10"/>
      <c r="BJ93" s="10"/>
      <c r="BK93" s="10"/>
      <c r="BL93" s="10"/>
      <c r="BM93" s="16"/>
      <c r="BN93" s="10"/>
      <c r="BO93" s="10"/>
      <c r="BP93" s="10"/>
      <c r="BQ93" s="16"/>
      <c r="BR93" s="10"/>
      <c r="BS93" s="10"/>
    </row>
    <row r="94" spans="1:71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1"/>
        <v/>
      </c>
      <c r="G94" s="24"/>
      <c r="H94" s="12"/>
      <c r="I94" s="24"/>
      <c r="J94" s="8" t="str">
        <f t="shared" si="12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3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6"/>
      <c r="AW94" s="10"/>
      <c r="AX94" s="10"/>
      <c r="AY94" s="10"/>
      <c r="AZ94" s="10"/>
      <c r="BA94" s="10"/>
      <c r="BB94" s="10"/>
      <c r="BC94" s="10"/>
      <c r="BD94" s="16"/>
      <c r="BE94" s="8" t="str">
        <f t="shared" si="8"/>
        <v/>
      </c>
      <c r="BF94" s="10"/>
      <c r="BG94" s="10"/>
      <c r="BH94" s="10"/>
      <c r="BI94" s="10"/>
      <c r="BJ94" s="10"/>
      <c r="BK94" s="10"/>
      <c r="BL94" s="10"/>
      <c r="BM94" s="16"/>
      <c r="BN94" s="10"/>
      <c r="BO94" s="10"/>
      <c r="BP94" s="10"/>
      <c r="BQ94" s="16"/>
      <c r="BR94" s="10"/>
      <c r="BS94" s="10"/>
    </row>
    <row r="95" spans="1:71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1"/>
        <v/>
      </c>
      <c r="G95" s="24"/>
      <c r="H95" s="12"/>
      <c r="I95" s="24"/>
      <c r="J95" s="8" t="str">
        <f t="shared" si="12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3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6"/>
      <c r="AW95" s="10"/>
      <c r="AX95" s="10"/>
      <c r="AY95" s="10"/>
      <c r="AZ95" s="10"/>
      <c r="BA95" s="10"/>
      <c r="BB95" s="10"/>
      <c r="BC95" s="10"/>
      <c r="BD95" s="16"/>
      <c r="BE95" s="8" t="str">
        <f t="shared" ref="BE95:BE100" si="17">IF($BD95="", "", "IGO")</f>
        <v/>
      </c>
      <c r="BF95" s="10"/>
      <c r="BG95" s="10"/>
      <c r="BH95" s="10"/>
      <c r="BI95" s="10"/>
      <c r="BJ95" s="10"/>
      <c r="BK95" s="10"/>
      <c r="BL95" s="10"/>
      <c r="BM95" s="16"/>
      <c r="BN95" s="10"/>
      <c r="BO95" s="10"/>
      <c r="BP95" s="10"/>
      <c r="BQ95" s="16"/>
      <c r="BR95" s="10"/>
      <c r="BS95" s="10"/>
    </row>
    <row r="96" spans="1:71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1"/>
        <v/>
      </c>
      <c r="G96" s="24"/>
      <c r="H96" s="12"/>
      <c r="I96" s="24"/>
      <c r="J96" s="8" t="str">
        <f t="shared" si="12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3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6"/>
      <c r="AW96" s="10"/>
      <c r="AX96" s="10"/>
      <c r="AY96" s="10"/>
      <c r="AZ96" s="10"/>
      <c r="BA96" s="10"/>
      <c r="BB96" s="10"/>
      <c r="BC96" s="10"/>
      <c r="BD96" s="16"/>
      <c r="BE96" s="8" t="str">
        <f t="shared" si="17"/>
        <v/>
      </c>
      <c r="BF96" s="10"/>
      <c r="BG96" s="10"/>
      <c r="BH96" s="10"/>
      <c r="BI96" s="10"/>
      <c r="BJ96" s="10"/>
      <c r="BK96" s="10"/>
      <c r="BL96" s="10"/>
      <c r="BM96" s="16"/>
      <c r="BN96" s="10"/>
      <c r="BO96" s="10"/>
      <c r="BP96" s="10"/>
      <c r="BQ96" s="16"/>
      <c r="BR96" s="10"/>
      <c r="BS96" s="10"/>
    </row>
    <row r="97" spans="1:71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1"/>
        <v/>
      </c>
      <c r="G97" s="24"/>
      <c r="H97" s="12"/>
      <c r="I97" s="24"/>
      <c r="J97" s="8" t="str">
        <f t="shared" si="12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3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6"/>
      <c r="AW97" s="10"/>
      <c r="AX97" s="10"/>
      <c r="AY97" s="10"/>
      <c r="AZ97" s="10"/>
      <c r="BA97" s="10"/>
      <c r="BB97" s="10"/>
      <c r="BC97" s="10"/>
      <c r="BD97" s="16"/>
      <c r="BE97" s="8" t="str">
        <f t="shared" si="17"/>
        <v/>
      </c>
      <c r="BF97" s="10"/>
      <c r="BG97" s="10"/>
      <c r="BH97" s="10"/>
      <c r="BI97" s="10"/>
      <c r="BJ97" s="10"/>
      <c r="BK97" s="10"/>
      <c r="BL97" s="10"/>
      <c r="BM97" s="16"/>
      <c r="BN97" s="10"/>
      <c r="BO97" s="10"/>
      <c r="BP97" s="10"/>
      <c r="BQ97" s="16"/>
      <c r="BR97" s="10"/>
      <c r="BS97" s="10"/>
    </row>
    <row r="98" spans="1:71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1"/>
        <v/>
      </c>
      <c r="G98" s="24"/>
      <c r="H98" s="12"/>
      <c r="I98" s="24"/>
      <c r="J98" s="8" t="str">
        <f t="shared" si="12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3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6"/>
      <c r="AW98" s="10"/>
      <c r="AX98" s="10"/>
      <c r="AY98" s="10"/>
      <c r="AZ98" s="10"/>
      <c r="BA98" s="10"/>
      <c r="BB98" s="10"/>
      <c r="BC98" s="10"/>
      <c r="BD98" s="16"/>
      <c r="BE98" s="8" t="str">
        <f t="shared" si="17"/>
        <v/>
      </c>
      <c r="BF98" s="10"/>
      <c r="BG98" s="10"/>
      <c r="BH98" s="10"/>
      <c r="BI98" s="10"/>
      <c r="BJ98" s="10"/>
      <c r="BK98" s="10"/>
      <c r="BL98" s="10"/>
      <c r="BM98" s="16"/>
      <c r="BN98" s="10"/>
      <c r="BO98" s="10"/>
      <c r="BP98" s="10"/>
      <c r="BQ98" s="16"/>
      <c r="BR98" s="10"/>
      <c r="BS98" s="10"/>
    </row>
    <row r="99" spans="1:71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1"/>
        <v/>
      </c>
      <c r="G99" s="24"/>
      <c r="H99" s="12"/>
      <c r="I99" s="24"/>
      <c r="J99" s="8" t="str">
        <f t="shared" si="12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3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6"/>
      <c r="AW99" s="10"/>
      <c r="AX99" s="10"/>
      <c r="AY99" s="10"/>
      <c r="AZ99" s="10"/>
      <c r="BA99" s="10"/>
      <c r="BB99" s="10"/>
      <c r="BC99" s="10"/>
      <c r="BD99" s="16"/>
      <c r="BE99" s="8" t="str">
        <f t="shared" si="17"/>
        <v/>
      </c>
      <c r="BF99" s="10"/>
      <c r="BG99" s="10"/>
      <c r="BH99" s="10"/>
      <c r="BI99" s="10"/>
      <c r="BJ99" s="10"/>
      <c r="BK99" s="10"/>
      <c r="BL99" s="10"/>
      <c r="BM99" s="16"/>
      <c r="BN99" s="10"/>
      <c r="BO99" s="10"/>
      <c r="BP99" s="10"/>
      <c r="BQ99" s="16"/>
      <c r="BR99" s="10"/>
      <c r="BS99" s="10"/>
    </row>
    <row r="100" spans="1:71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1"/>
        <v/>
      </c>
      <c r="G100" s="24"/>
      <c r="H100" s="12"/>
      <c r="I100" s="24"/>
      <c r="J100" s="8" t="str">
        <f t="shared" si="12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3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6"/>
      <c r="AW100" s="10"/>
      <c r="AX100" s="10"/>
      <c r="AY100" s="10"/>
      <c r="AZ100" s="10"/>
      <c r="BA100" s="10"/>
      <c r="BB100" s="10"/>
      <c r="BC100" s="10"/>
      <c r="BD100" s="16"/>
      <c r="BE100" s="8" t="str">
        <f t="shared" si="17"/>
        <v/>
      </c>
      <c r="BF100" s="10"/>
      <c r="BG100" s="10"/>
      <c r="BH100" s="10"/>
      <c r="BI100" s="10"/>
      <c r="BJ100" s="10"/>
      <c r="BK100" s="10"/>
      <c r="BL100" s="10"/>
      <c r="BM100" s="16"/>
      <c r="BN100" s="10"/>
      <c r="BO100" s="10"/>
      <c r="BP100" s="10"/>
      <c r="BQ100" s="16"/>
      <c r="BR100" s="10"/>
      <c r="BS100" s="10"/>
    </row>
    <row r="101" spans="1:71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6"/>
      <c r="BR101" s="10"/>
      <c r="BS101" s="10"/>
    </row>
    <row r="102" spans="1:71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</row>
    <row r="103" spans="1:71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</row>
    <row r="104" spans="1:71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</row>
    <row r="105" spans="1:71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</row>
    <row r="106" spans="1:71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</row>
    <row r="107" spans="1:71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</row>
    <row r="108" spans="1:71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</row>
    <row r="109" spans="1:71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</row>
    <row r="110" spans="1:71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</row>
    <row r="111" spans="1:71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</row>
    <row r="112" spans="1:71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</row>
    <row r="113" spans="2:71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</row>
    <row r="114" spans="2:71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</row>
    <row r="115" spans="2:71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</row>
    <row r="116" spans="2:71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</row>
    <row r="117" spans="2:71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</row>
    <row r="118" spans="2:71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</row>
    <row r="119" spans="2:71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</row>
    <row r="120" spans="2:71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</row>
    <row r="121" spans="2:71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</row>
    <row r="122" spans="2:71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</row>
    <row r="123" spans="2:71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</row>
    <row r="124" spans="2:71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</row>
    <row r="125" spans="2:71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</row>
    <row r="126" spans="2:71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</row>
    <row r="127" spans="2:71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</row>
    <row r="128" spans="2:71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</row>
    <row r="129" spans="2:71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</row>
    <row r="130" spans="2:71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</row>
    <row r="131" spans="2:71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</row>
    <row r="132" spans="2:71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</row>
    <row r="133" spans="2:71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</row>
    <row r="134" spans="2:71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</row>
    <row r="135" spans="2:71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</row>
    <row r="136" spans="2:71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</row>
    <row r="137" spans="2:71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</row>
    <row r="138" spans="2:71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</row>
    <row r="139" spans="2:71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</row>
  </sheetData>
  <dataConsolidate/>
  <mergeCells count="17">
    <mergeCell ref="A3:E3"/>
    <mergeCell ref="BM3:BO3"/>
    <mergeCell ref="AA3:AC3"/>
    <mergeCell ref="AQ3:AT3"/>
    <mergeCell ref="AU3:AW3"/>
    <mergeCell ref="AZ3:BA3"/>
    <mergeCell ref="BB3:BC3"/>
    <mergeCell ref="BD3:BL3"/>
    <mergeCell ref="AD3:AE3"/>
    <mergeCell ref="AF3:AP3"/>
    <mergeCell ref="BQ3:BR3"/>
    <mergeCell ref="BS3:BX3"/>
    <mergeCell ref="BY3:CB3"/>
    <mergeCell ref="U3:Y3"/>
    <mergeCell ref="F3:K3"/>
    <mergeCell ref="M3:N3"/>
    <mergeCell ref="P3:T3"/>
  </mergeCells>
  <phoneticPr fontId="7" type="noConversion"/>
  <conditionalFormatting sqref="O6:O100">
    <cfRule type="expression" dxfId="45" priority="54">
      <formula>$L6="Yes"</formula>
    </cfRule>
  </conditionalFormatting>
  <conditionalFormatting sqref="A6:A100">
    <cfRule type="containsBlanks" dxfId="44" priority="53">
      <formula>LEN(TRIM(A6))=0</formula>
    </cfRule>
  </conditionalFormatting>
  <conditionalFormatting sqref="M6 M39:M100">
    <cfRule type="expression" dxfId="43" priority="52">
      <formula>$L6="Yes"</formula>
    </cfRule>
  </conditionalFormatting>
  <conditionalFormatting sqref="U6:V100 X6:Y100">
    <cfRule type="expression" dxfId="42" priority="51">
      <formula>$T6="Single Cell Suspension"</formula>
    </cfRule>
  </conditionalFormatting>
  <conditionalFormatting sqref="Z6:AE100">
    <cfRule type="expression" dxfId="41" priority="58">
      <formula>$Y6="Unsorted Single Cell Sequencing"</formula>
    </cfRule>
  </conditionalFormatting>
  <conditionalFormatting sqref="AD6:AE100">
    <cfRule type="expression" dxfId="40" priority="57">
      <formula>$Y6="Unsorted Single Cell Sequencing"</formula>
    </cfRule>
  </conditionalFormatting>
  <conditionalFormatting sqref="AU31:BO40 AU56:BO65 AU81:BO90 Z6:AE100 AG16:AT100 AG6:BO15">
    <cfRule type="expression" dxfId="39" priority="59">
      <formula>$Y6="Storage Only"</formula>
    </cfRule>
  </conditionalFormatting>
  <conditionalFormatting sqref="BB6:BD100">
    <cfRule type="expression" dxfId="38" priority="42">
      <formula>#REF!="No"</formula>
    </cfRule>
  </conditionalFormatting>
  <conditionalFormatting sqref="AJ6:AP100">
    <cfRule type="notContainsBlanks" dxfId="37" priority="28">
      <formula>LEN(TRIM(AJ6))&gt;0</formula>
    </cfRule>
    <cfRule type="expression" dxfId="36" priority="29">
      <formula>$Y6="Sorted Single Cell Sequencing"</formula>
    </cfRule>
    <cfRule type="expression" dxfId="35" priority="30">
      <formula>$Y6="Unsorted Single Cell Sequencing"</formula>
    </cfRule>
  </conditionalFormatting>
  <conditionalFormatting sqref="X6:Y100">
    <cfRule type="notContainsBlanks" dxfId="34" priority="24">
      <formula>LEN(TRIM(X6))&gt;0</formula>
    </cfRule>
  </conditionalFormatting>
  <conditionalFormatting sqref="AQ6:AT100">
    <cfRule type="notContainsBlanks" dxfId="33" priority="19">
      <formula>LEN(TRIM(AQ6))&gt;0</formula>
    </cfRule>
    <cfRule type="expression" dxfId="32" priority="34">
      <formula>$T6="Frozen Tissue"</formula>
    </cfRule>
    <cfRule type="expression" dxfId="31" priority="43">
      <formula>$T6="FFPE Block"</formula>
    </cfRule>
  </conditionalFormatting>
  <conditionalFormatting sqref="U6:V100">
    <cfRule type="notContainsBlanks" dxfId="30" priority="20">
      <formula>LEN(TRIM(U6))&gt;0</formula>
    </cfRule>
    <cfRule type="notContainsBlanks" dxfId="29" priority="88">
      <formula>LEN(TRIM(U6))&gt;0</formula>
    </cfRule>
    <cfRule type="expression" dxfId="28" priority="89">
      <formula>$T6="Single Cell Suspension"</formula>
    </cfRule>
  </conditionalFormatting>
  <conditionalFormatting sqref="AU6:BL100">
    <cfRule type="expression" dxfId="27" priority="40">
      <formula>$AT6="IF"</formula>
    </cfRule>
  </conditionalFormatting>
  <conditionalFormatting sqref="AZ6:BA100">
    <cfRule type="expression" dxfId="26" priority="39">
      <formula>#REF!="No"</formula>
    </cfRule>
  </conditionalFormatting>
  <conditionalFormatting sqref="AU6:BO100">
    <cfRule type="expression" dxfId="25" priority="60">
      <formula>$AT6="Storage Only"</formula>
    </cfRule>
  </conditionalFormatting>
  <conditionalFormatting sqref="AZ6:BD100">
    <cfRule type="notContainsBlanks" dxfId="24" priority="12">
      <formula>LEN(TRIM(AZ6))&gt;0</formula>
    </cfRule>
    <cfRule type="expression" dxfId="23" priority="38">
      <formula>#REF!="Yes"</formula>
    </cfRule>
  </conditionalFormatting>
  <conditionalFormatting sqref="BM6:BO100">
    <cfRule type="notContainsBlanks" dxfId="22" priority="13">
      <formula>LEN(TRIM(BM6))&gt;0</formula>
    </cfRule>
    <cfRule type="expression" dxfId="21" priority="16">
      <formula>$AT6="IF"</formula>
    </cfRule>
    <cfRule type="expression" dxfId="20" priority="31">
      <formula>$AT6="WGS Bulk"</formula>
    </cfRule>
  </conditionalFormatting>
  <conditionalFormatting sqref="AU6:AY100">
    <cfRule type="notContainsBlanks" dxfId="19" priority="15">
      <formula>LEN(TRIM(AU6))&gt;0</formula>
    </cfRule>
    <cfRule type="expression" dxfId="18" priority="41">
      <formula>$AT6="WGS Bulk"</formula>
    </cfRule>
  </conditionalFormatting>
  <conditionalFormatting sqref="O6:O100">
    <cfRule type="expression" dxfId="17" priority="22">
      <formula>$L6="No"</formula>
    </cfRule>
  </conditionalFormatting>
  <conditionalFormatting sqref="BF6:BL100">
    <cfRule type="notContainsBlanks" dxfId="16" priority="33">
      <formula>LEN(TRIM(BF6))&gt;0</formula>
    </cfRule>
    <cfRule type="expression" dxfId="15" priority="35">
      <formula>#REF!="Yes"</formula>
    </cfRule>
    <cfRule type="expression" dxfId="14" priority="37">
      <formula>#REF!="No"</formula>
    </cfRule>
  </conditionalFormatting>
  <conditionalFormatting sqref="Z6:AE100">
    <cfRule type="notContainsBlanks" dxfId="13" priority="45">
      <formula>LEN(TRIM(Z6))&gt;0</formula>
    </cfRule>
    <cfRule type="expression" dxfId="12" priority="46">
      <formula>$Y6="Sorted Single Cell Sequencing"</formula>
    </cfRule>
  </conditionalFormatting>
  <conditionalFormatting sqref="AQ6:BO100">
    <cfRule type="expression" dxfId="11" priority="44">
      <formula>$T6="Single Cell Suspension"</formula>
    </cfRule>
  </conditionalFormatting>
  <conditionalFormatting sqref="AG6:AP100 U6:AE100">
    <cfRule type="expression" dxfId="10" priority="21">
      <formula>$T6="Frozen Tissue"</formula>
    </cfRule>
    <cfRule type="expression" dxfId="9" priority="25">
      <formula>$T6="FFPE Block"</formula>
    </cfRule>
  </conditionalFormatting>
  <conditionalFormatting sqref="BQ6:BX100">
    <cfRule type="notContainsBlanks" dxfId="8" priority="10">
      <formula>LEN(TRIM(BQ6))&gt;0</formula>
    </cfRule>
    <cfRule type="expression" dxfId="7" priority="11">
      <formula>$AE6 = "DLP"</formula>
    </cfRule>
  </conditionalFormatting>
  <conditionalFormatting sqref="BP6:BP100">
    <cfRule type="notContainsBlanks" dxfId="6" priority="3">
      <formula>LEN(TRIM(BP6))&gt;0</formula>
    </cfRule>
    <cfRule type="expression" dxfId="5" priority="4">
      <formula>AT6 = "Storage Only"</formula>
    </cfRule>
    <cfRule type="expression" dxfId="4" priority="9">
      <formula>$Y6 = "Storage Only"</formula>
    </cfRule>
  </conditionalFormatting>
  <conditionalFormatting sqref="AH6:AH100">
    <cfRule type="notContainsBlanks" dxfId="3" priority="7">
      <formula>LEN(TRIM(AH6))&gt;0</formula>
    </cfRule>
    <cfRule type="expression" dxfId="2" priority="8">
      <formula>$AE6 = "scRNA Sequencing"</formula>
    </cfRule>
  </conditionalFormatting>
  <conditionalFormatting sqref="M7:M11">
    <cfRule type="expression" dxfId="1" priority="2">
      <formula>$L7="Yes"</formula>
    </cfRule>
  </conditionalFormatting>
  <conditionalFormatting sqref="M12:M38">
    <cfRule type="expression" dxfId="0" priority="1">
      <formula>$L12="Yes"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O31:BO40 BO81:BO90 BO56:BO65" xr:uid="{8617E578-3FE8-ED48-AA58-1C1F0FE94BDE}">
      <formula1>$W$3:$W$6</formula1>
    </dataValidation>
    <dataValidation type="list" allowBlank="1" showInputMessage="1" showErrorMessage="1" sqref="AX31:AY40 AX56:AY65 AX81:AY9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BO5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BP6:BP100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BR6:BR100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BO6:BO15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AX5:AY5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AX6:AY15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BV6:BV100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BI6:BI100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Y112"/>
  <sheetViews>
    <sheetView topLeftCell="O1" workbookViewId="0">
      <selection activeCell="V21" sqref="V21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16384" width="10.83203125" style="1"/>
  </cols>
  <sheetData>
    <row r="2" spans="1:25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209</v>
      </c>
      <c r="R2" s="3" t="s">
        <v>244</v>
      </c>
      <c r="S2" s="3" t="s">
        <v>28</v>
      </c>
      <c r="T2" s="3" t="s">
        <v>29</v>
      </c>
      <c r="U2" s="3" t="s">
        <v>35</v>
      </c>
      <c r="V2" s="3" t="s">
        <v>263</v>
      </c>
      <c r="W2" s="3" t="s">
        <v>41</v>
      </c>
      <c r="X2" s="3" t="s">
        <v>234</v>
      </c>
      <c r="Y2" s="3" t="s">
        <v>284</v>
      </c>
    </row>
    <row r="3" spans="1:25" x14ac:dyDescent="0.2">
      <c r="B3" s="1" t="s">
        <v>55</v>
      </c>
      <c r="C3" s="1" t="s">
        <v>156</v>
      </c>
      <c r="D3" s="1" t="s">
        <v>157</v>
      </c>
      <c r="E3" s="1" t="s">
        <v>166</v>
      </c>
      <c r="F3" s="1">
        <v>1</v>
      </c>
      <c r="G3" s="1" t="s">
        <v>168</v>
      </c>
      <c r="H3" s="1" t="s">
        <v>170</v>
      </c>
      <c r="I3" s="1" t="s">
        <v>179</v>
      </c>
      <c r="J3" s="1" t="s">
        <v>180</v>
      </c>
      <c r="K3" s="1" t="s">
        <v>187</v>
      </c>
      <c r="L3" s="1" t="s">
        <v>190</v>
      </c>
      <c r="M3" s="1" t="s">
        <v>193</v>
      </c>
      <c r="N3" s="1" t="s">
        <v>195</v>
      </c>
      <c r="O3" s="1" t="s">
        <v>199</v>
      </c>
      <c r="P3" s="1" t="s">
        <v>202</v>
      </c>
      <c r="Q3" s="1" t="s">
        <v>211</v>
      </c>
      <c r="R3" s="1" t="s">
        <v>245</v>
      </c>
      <c r="S3" s="1" t="s">
        <v>207</v>
      </c>
      <c r="T3" s="1" t="s">
        <v>208</v>
      </c>
      <c r="U3" s="1" t="s">
        <v>169</v>
      </c>
      <c r="V3" s="1" t="s">
        <v>264</v>
      </c>
      <c r="W3" s="1" t="s">
        <v>205</v>
      </c>
      <c r="X3" s="1" t="s">
        <v>235</v>
      </c>
      <c r="Y3" s="1" t="s">
        <v>285</v>
      </c>
    </row>
    <row r="4" spans="1:25" x14ac:dyDescent="0.2">
      <c r="B4" s="1" t="s">
        <v>56</v>
      </c>
      <c r="C4" s="1" t="s">
        <v>238</v>
      </c>
      <c r="D4" s="1" t="s">
        <v>158</v>
      </c>
      <c r="E4" s="1" t="s">
        <v>167</v>
      </c>
      <c r="F4" s="1">
        <v>2</v>
      </c>
      <c r="G4" s="1" t="s">
        <v>169</v>
      </c>
      <c r="H4" s="1" t="s">
        <v>176</v>
      </c>
      <c r="I4" s="1" t="s">
        <v>180</v>
      </c>
      <c r="J4" s="1" t="s">
        <v>181</v>
      </c>
      <c r="K4" s="1" t="s">
        <v>188</v>
      </c>
      <c r="L4" s="1" t="s">
        <v>192</v>
      </c>
      <c r="M4" s="1" t="s">
        <v>194</v>
      </c>
      <c r="N4" s="1" t="s">
        <v>196</v>
      </c>
      <c r="O4" s="1" t="s">
        <v>200</v>
      </c>
      <c r="P4" s="1" t="s">
        <v>203</v>
      </c>
      <c r="Q4" s="1" t="s">
        <v>210</v>
      </c>
      <c r="R4" s="1" t="s">
        <v>246</v>
      </c>
      <c r="S4" s="1" t="str">
        <f>" "</f>
        <v xml:space="preserve"> </v>
      </c>
      <c r="T4" s="1" t="s">
        <v>242</v>
      </c>
      <c r="U4" s="1" t="s">
        <v>168</v>
      </c>
      <c r="V4" s="1" t="s">
        <v>265</v>
      </c>
      <c r="W4" s="1" t="s">
        <v>206</v>
      </c>
      <c r="X4" s="1" t="s">
        <v>191</v>
      </c>
      <c r="Y4" s="1" t="s">
        <v>286</v>
      </c>
    </row>
    <row r="5" spans="1:25" x14ac:dyDescent="0.2">
      <c r="B5" s="1" t="s">
        <v>57</v>
      </c>
      <c r="C5" s="1" t="s">
        <v>155</v>
      </c>
      <c r="D5" s="1" t="s">
        <v>159</v>
      </c>
      <c r="F5" s="1">
        <v>3</v>
      </c>
      <c r="H5" s="1" t="s">
        <v>171</v>
      </c>
      <c r="I5" s="1" t="s">
        <v>181</v>
      </c>
      <c r="J5" s="1" t="s">
        <v>182</v>
      </c>
      <c r="K5" s="1" t="s">
        <v>189</v>
      </c>
      <c r="L5" s="1" t="s">
        <v>191</v>
      </c>
      <c r="N5" s="1" t="s">
        <v>197</v>
      </c>
      <c r="O5" s="1" t="s">
        <v>201</v>
      </c>
      <c r="P5" s="1" t="s">
        <v>204</v>
      </c>
      <c r="T5" s="1" t="s">
        <v>243</v>
      </c>
      <c r="W5" s="1" t="s">
        <v>212</v>
      </c>
      <c r="X5" s="1" t="s">
        <v>236</v>
      </c>
      <c r="Y5" s="1" t="s">
        <v>287</v>
      </c>
    </row>
    <row r="6" spans="1:25" x14ac:dyDescent="0.2">
      <c r="B6" s="1" t="s">
        <v>58</v>
      </c>
      <c r="D6" s="1" t="s">
        <v>160</v>
      </c>
      <c r="F6" s="1">
        <v>4</v>
      </c>
      <c r="H6" s="1" t="s">
        <v>172</v>
      </c>
      <c r="I6" s="1" t="s">
        <v>182</v>
      </c>
      <c r="J6" s="1" t="s">
        <v>183</v>
      </c>
      <c r="N6" s="1" t="s">
        <v>198</v>
      </c>
    </row>
    <row r="7" spans="1:25" x14ac:dyDescent="0.2">
      <c r="B7" s="1" t="s">
        <v>59</v>
      </c>
      <c r="D7" s="1" t="s">
        <v>161</v>
      </c>
      <c r="F7" s="1">
        <v>5</v>
      </c>
      <c r="H7" s="1" t="s">
        <v>173</v>
      </c>
      <c r="I7" s="1" t="s">
        <v>183</v>
      </c>
      <c r="J7" s="1" t="s">
        <v>177</v>
      </c>
    </row>
    <row r="8" spans="1:25" x14ac:dyDescent="0.2">
      <c r="B8" s="1" t="s">
        <v>60</v>
      </c>
      <c r="D8" s="1" t="s">
        <v>162</v>
      </c>
      <c r="F8" s="1">
        <v>6</v>
      </c>
      <c r="H8" s="1" t="s">
        <v>174</v>
      </c>
      <c r="I8" s="1" t="s">
        <v>177</v>
      </c>
      <c r="J8" s="1" t="s">
        <v>184</v>
      </c>
    </row>
    <row r="9" spans="1:25" x14ac:dyDescent="0.2">
      <c r="B9" s="1" t="s">
        <v>61</v>
      </c>
      <c r="D9" s="1" t="s">
        <v>163</v>
      </c>
      <c r="F9" s="1">
        <v>7</v>
      </c>
      <c r="H9" s="1" t="s">
        <v>175</v>
      </c>
      <c r="I9" s="1" t="s">
        <v>184</v>
      </c>
      <c r="J9" s="1" t="s">
        <v>185</v>
      </c>
    </row>
    <row r="10" spans="1:25" x14ac:dyDescent="0.2">
      <c r="B10" s="1" t="s">
        <v>62</v>
      </c>
      <c r="D10" s="1" t="s">
        <v>164</v>
      </c>
      <c r="F10" s="1">
        <v>8</v>
      </c>
      <c r="H10" s="1" t="s">
        <v>177</v>
      </c>
      <c r="I10" s="1" t="s">
        <v>185</v>
      </c>
      <c r="J10" s="1" t="s">
        <v>186</v>
      </c>
    </row>
    <row r="11" spans="1:25" x14ac:dyDescent="0.2">
      <c r="B11" s="1" t="s">
        <v>63</v>
      </c>
      <c r="D11" s="1" t="s">
        <v>165</v>
      </c>
      <c r="F11" s="1">
        <v>9</v>
      </c>
      <c r="H11" s="1" t="s">
        <v>178</v>
      </c>
      <c r="I11" s="1" t="s">
        <v>186</v>
      </c>
    </row>
    <row r="12" spans="1:25" x14ac:dyDescent="0.2">
      <c r="B12" s="1" t="s">
        <v>64</v>
      </c>
      <c r="F12" s="1">
        <v>10</v>
      </c>
    </row>
    <row r="13" spans="1:25" x14ac:dyDescent="0.2">
      <c r="B13" s="1" t="s">
        <v>65</v>
      </c>
      <c r="F13" s="1">
        <v>11</v>
      </c>
    </row>
    <row r="14" spans="1:25" x14ac:dyDescent="0.2">
      <c r="B14" s="1" t="s">
        <v>66</v>
      </c>
      <c r="F14" s="1">
        <v>12</v>
      </c>
    </row>
    <row r="15" spans="1:25" x14ac:dyDescent="0.2">
      <c r="B15" s="1" t="s">
        <v>67</v>
      </c>
      <c r="F15" s="1">
        <v>13</v>
      </c>
    </row>
    <row r="16" spans="1:25" x14ac:dyDescent="0.2">
      <c r="B16" s="1" t="s">
        <v>68</v>
      </c>
      <c r="F16" s="1">
        <v>14</v>
      </c>
    </row>
    <row r="17" spans="2:6" x14ac:dyDescent="0.2">
      <c r="B17" s="1" t="s">
        <v>69</v>
      </c>
      <c r="F17" s="1">
        <v>15</v>
      </c>
    </row>
    <row r="18" spans="2:6" x14ac:dyDescent="0.2">
      <c r="B18" s="1" t="s">
        <v>70</v>
      </c>
      <c r="F18" s="1">
        <v>16</v>
      </c>
    </row>
    <row r="19" spans="2:6" x14ac:dyDescent="0.2">
      <c r="B19" s="1" t="s">
        <v>71</v>
      </c>
      <c r="F19" s="1">
        <v>17</v>
      </c>
    </row>
    <row r="20" spans="2:6" x14ac:dyDescent="0.2">
      <c r="B20" s="1" t="s">
        <v>72</v>
      </c>
      <c r="F20" s="1">
        <v>18</v>
      </c>
    </row>
    <row r="21" spans="2:6" x14ac:dyDescent="0.2">
      <c r="B21" s="1" t="s">
        <v>73</v>
      </c>
      <c r="F21" s="1">
        <v>19</v>
      </c>
    </row>
    <row r="22" spans="2:6" x14ac:dyDescent="0.2">
      <c r="B22" s="1" t="s">
        <v>74</v>
      </c>
      <c r="F22" s="1">
        <v>20</v>
      </c>
    </row>
    <row r="23" spans="2:6" x14ac:dyDescent="0.2">
      <c r="B23" s="1" t="s">
        <v>75</v>
      </c>
    </row>
    <row r="24" spans="2:6" x14ac:dyDescent="0.2">
      <c r="B24" s="1" t="s">
        <v>76</v>
      </c>
    </row>
    <row r="25" spans="2:6" x14ac:dyDescent="0.2">
      <c r="B25" s="1" t="s">
        <v>77</v>
      </c>
    </row>
    <row r="26" spans="2:6" x14ac:dyDescent="0.2">
      <c r="B26" s="1" t="s">
        <v>78</v>
      </c>
    </row>
    <row r="27" spans="2:6" x14ac:dyDescent="0.2">
      <c r="B27" s="1" t="s">
        <v>79</v>
      </c>
    </row>
    <row r="28" spans="2:6" x14ac:dyDescent="0.2">
      <c r="B28" s="1" t="s">
        <v>80</v>
      </c>
    </row>
    <row r="29" spans="2:6" x14ac:dyDescent="0.2">
      <c r="B29" s="1" t="s">
        <v>81</v>
      </c>
    </row>
    <row r="30" spans="2:6" x14ac:dyDescent="0.2">
      <c r="B30" s="1" t="s">
        <v>82</v>
      </c>
    </row>
    <row r="31" spans="2:6" x14ac:dyDescent="0.2">
      <c r="B31" s="1" t="s">
        <v>83</v>
      </c>
    </row>
    <row r="32" spans="2:6" x14ac:dyDescent="0.2">
      <c r="B32" s="1" t="s">
        <v>84</v>
      </c>
    </row>
    <row r="33" spans="2:2" x14ac:dyDescent="0.2">
      <c r="B33" s="1" t="s">
        <v>85</v>
      </c>
    </row>
    <row r="34" spans="2:2" x14ac:dyDescent="0.2">
      <c r="B34" s="1" t="s">
        <v>86</v>
      </c>
    </row>
    <row r="35" spans="2:2" x14ac:dyDescent="0.2">
      <c r="B35" s="1" t="s">
        <v>87</v>
      </c>
    </row>
    <row r="36" spans="2:2" x14ac:dyDescent="0.2">
      <c r="B36" s="1" t="s">
        <v>88</v>
      </c>
    </row>
    <row r="37" spans="2:2" x14ac:dyDescent="0.2">
      <c r="B37" s="1" t="s">
        <v>89</v>
      </c>
    </row>
    <row r="38" spans="2:2" x14ac:dyDescent="0.2">
      <c r="B38" s="1" t="s">
        <v>90</v>
      </c>
    </row>
    <row r="39" spans="2:2" x14ac:dyDescent="0.2">
      <c r="B39" s="1" t="s">
        <v>91</v>
      </c>
    </row>
    <row r="40" spans="2:2" x14ac:dyDescent="0.2">
      <c r="B40" s="1" t="s">
        <v>92</v>
      </c>
    </row>
    <row r="41" spans="2:2" x14ac:dyDescent="0.2">
      <c r="B41" s="1" t="s">
        <v>93</v>
      </c>
    </row>
    <row r="42" spans="2:2" x14ac:dyDescent="0.2">
      <c r="B42" s="1" t="s">
        <v>94</v>
      </c>
    </row>
    <row r="43" spans="2:2" x14ac:dyDescent="0.2">
      <c r="B43" s="1" t="s">
        <v>95</v>
      </c>
    </row>
    <row r="44" spans="2:2" x14ac:dyDescent="0.2">
      <c r="B44" s="1" t="s">
        <v>96</v>
      </c>
    </row>
    <row r="45" spans="2:2" x14ac:dyDescent="0.2">
      <c r="B45" s="1" t="s">
        <v>97</v>
      </c>
    </row>
    <row r="46" spans="2:2" x14ac:dyDescent="0.2">
      <c r="B46" s="1" t="s">
        <v>98</v>
      </c>
    </row>
    <row r="47" spans="2:2" x14ac:dyDescent="0.2">
      <c r="B47" s="1" t="s">
        <v>99</v>
      </c>
    </row>
    <row r="48" spans="2:2" x14ac:dyDescent="0.2">
      <c r="B48" s="1" t="s">
        <v>100</v>
      </c>
    </row>
    <row r="49" spans="2:2" x14ac:dyDescent="0.2">
      <c r="B49" s="1" t="s">
        <v>101</v>
      </c>
    </row>
    <row r="50" spans="2:2" x14ac:dyDescent="0.2">
      <c r="B50" s="1" t="s">
        <v>102</v>
      </c>
    </row>
    <row r="51" spans="2:2" x14ac:dyDescent="0.2">
      <c r="B51" s="1" t="s">
        <v>103</v>
      </c>
    </row>
    <row r="52" spans="2:2" x14ac:dyDescent="0.2">
      <c r="B52" s="1" t="s">
        <v>104</v>
      </c>
    </row>
    <row r="53" spans="2:2" x14ac:dyDescent="0.2">
      <c r="B53" s="1" t="s">
        <v>105</v>
      </c>
    </row>
    <row r="54" spans="2:2" x14ac:dyDescent="0.2">
      <c r="B54" s="1" t="s">
        <v>106</v>
      </c>
    </row>
    <row r="55" spans="2:2" x14ac:dyDescent="0.2">
      <c r="B55" s="1" t="s">
        <v>107</v>
      </c>
    </row>
    <row r="56" spans="2:2" x14ac:dyDescent="0.2">
      <c r="B56" s="1" t="s">
        <v>108</v>
      </c>
    </row>
    <row r="57" spans="2:2" x14ac:dyDescent="0.2">
      <c r="B57" s="1" t="s">
        <v>109</v>
      </c>
    </row>
    <row r="58" spans="2:2" x14ac:dyDescent="0.2">
      <c r="B58" s="1" t="s">
        <v>110</v>
      </c>
    </row>
    <row r="59" spans="2:2" x14ac:dyDescent="0.2">
      <c r="B59" s="1" t="s">
        <v>111</v>
      </c>
    </row>
    <row r="60" spans="2:2" x14ac:dyDescent="0.2">
      <c r="B60" s="1" t="s">
        <v>112</v>
      </c>
    </row>
    <row r="61" spans="2:2" x14ac:dyDescent="0.2">
      <c r="B61" s="1" t="s">
        <v>113</v>
      </c>
    </row>
    <row r="62" spans="2:2" x14ac:dyDescent="0.2">
      <c r="B62" s="1" t="s">
        <v>114</v>
      </c>
    </row>
    <row r="63" spans="2:2" x14ac:dyDescent="0.2">
      <c r="B63" s="1" t="s">
        <v>115</v>
      </c>
    </row>
    <row r="64" spans="2:2" x14ac:dyDescent="0.2">
      <c r="B64" s="1" t="s">
        <v>116</v>
      </c>
    </row>
    <row r="65" spans="2:2" x14ac:dyDescent="0.2">
      <c r="B65" s="1" t="s">
        <v>117</v>
      </c>
    </row>
    <row r="66" spans="2:2" x14ac:dyDescent="0.2">
      <c r="B66" s="1" t="s">
        <v>118</v>
      </c>
    </row>
    <row r="67" spans="2:2" x14ac:dyDescent="0.2">
      <c r="B67" s="1" t="s">
        <v>119</v>
      </c>
    </row>
    <row r="68" spans="2:2" x14ac:dyDescent="0.2">
      <c r="B68" s="1" t="s">
        <v>120</v>
      </c>
    </row>
    <row r="69" spans="2:2" x14ac:dyDescent="0.2">
      <c r="B69" s="1" t="s">
        <v>121</v>
      </c>
    </row>
    <row r="70" spans="2:2" x14ac:dyDescent="0.2">
      <c r="B70" s="1" t="s">
        <v>122</v>
      </c>
    </row>
    <row r="71" spans="2:2" x14ac:dyDescent="0.2">
      <c r="B71" s="1" t="s">
        <v>123</v>
      </c>
    </row>
    <row r="72" spans="2:2" x14ac:dyDescent="0.2">
      <c r="B72" s="1" t="s">
        <v>124</v>
      </c>
    </row>
    <row r="73" spans="2:2" x14ac:dyDescent="0.2">
      <c r="B73" s="1" t="s">
        <v>125</v>
      </c>
    </row>
    <row r="74" spans="2:2" x14ac:dyDescent="0.2">
      <c r="B74" s="1" t="s">
        <v>126</v>
      </c>
    </row>
    <row r="75" spans="2:2" x14ac:dyDescent="0.2">
      <c r="B75" s="1" t="s">
        <v>127</v>
      </c>
    </row>
    <row r="76" spans="2:2" x14ac:dyDescent="0.2">
      <c r="B76" s="1" t="s">
        <v>128</v>
      </c>
    </row>
    <row r="77" spans="2:2" x14ac:dyDescent="0.2">
      <c r="B77" s="1" t="s">
        <v>129</v>
      </c>
    </row>
    <row r="78" spans="2:2" x14ac:dyDescent="0.2">
      <c r="B78" s="1" t="s">
        <v>130</v>
      </c>
    </row>
    <row r="79" spans="2:2" x14ac:dyDescent="0.2">
      <c r="B79" s="1" t="s">
        <v>131</v>
      </c>
    </row>
    <row r="80" spans="2:2" x14ac:dyDescent="0.2">
      <c r="B80" s="1" t="s">
        <v>132</v>
      </c>
    </row>
    <row r="81" spans="2:2" x14ac:dyDescent="0.2">
      <c r="B81" s="1" t="s">
        <v>133</v>
      </c>
    </row>
    <row r="82" spans="2:2" x14ac:dyDescent="0.2">
      <c r="B82" s="1" t="s">
        <v>134</v>
      </c>
    </row>
    <row r="83" spans="2:2" x14ac:dyDescent="0.2">
      <c r="B83" s="1" t="s">
        <v>135</v>
      </c>
    </row>
    <row r="84" spans="2:2" x14ac:dyDescent="0.2">
      <c r="B84" s="1" t="s">
        <v>136</v>
      </c>
    </row>
    <row r="85" spans="2:2" x14ac:dyDescent="0.2">
      <c r="B85" s="1" t="s">
        <v>137</v>
      </c>
    </row>
    <row r="86" spans="2:2" x14ac:dyDescent="0.2">
      <c r="B86" s="1" t="s">
        <v>138</v>
      </c>
    </row>
    <row r="87" spans="2:2" x14ac:dyDescent="0.2">
      <c r="B87" s="1" t="s">
        <v>139</v>
      </c>
    </row>
    <row r="88" spans="2:2" x14ac:dyDescent="0.2">
      <c r="B88" s="1" t="s">
        <v>140</v>
      </c>
    </row>
    <row r="89" spans="2:2" x14ac:dyDescent="0.2">
      <c r="B89" s="1" t="s">
        <v>141</v>
      </c>
    </row>
    <row r="90" spans="2:2" x14ac:dyDescent="0.2">
      <c r="B90" s="1" t="s">
        <v>142</v>
      </c>
    </row>
    <row r="91" spans="2:2" x14ac:dyDescent="0.2">
      <c r="B91" s="1" t="s">
        <v>143</v>
      </c>
    </row>
    <row r="92" spans="2:2" x14ac:dyDescent="0.2">
      <c r="B92" s="1" t="s">
        <v>144</v>
      </c>
    </row>
    <row r="93" spans="2:2" x14ac:dyDescent="0.2">
      <c r="B93" s="1" t="s">
        <v>145</v>
      </c>
    </row>
    <row r="94" spans="2:2" x14ac:dyDescent="0.2">
      <c r="B94" s="1" t="s">
        <v>146</v>
      </c>
    </row>
    <row r="95" spans="2:2" x14ac:dyDescent="0.2">
      <c r="B95" s="1" t="s">
        <v>147</v>
      </c>
    </row>
    <row r="96" spans="2:2" x14ac:dyDescent="0.2">
      <c r="B96" s="1" t="s">
        <v>148</v>
      </c>
    </row>
    <row r="97" spans="2:2" x14ac:dyDescent="0.2">
      <c r="B97" s="1" t="s">
        <v>149</v>
      </c>
    </row>
    <row r="98" spans="2:2" x14ac:dyDescent="0.2">
      <c r="B98" s="1" t="s">
        <v>150</v>
      </c>
    </row>
    <row r="99" spans="2:2" x14ac:dyDescent="0.2">
      <c r="B99" s="1" t="s">
        <v>151</v>
      </c>
    </row>
    <row r="100" spans="2:2" x14ac:dyDescent="0.2">
      <c r="B100" s="1" t="s">
        <v>152</v>
      </c>
    </row>
    <row r="101" spans="2:2" x14ac:dyDescent="0.2">
      <c r="B101" s="1" t="s">
        <v>153</v>
      </c>
    </row>
    <row r="102" spans="2:2" x14ac:dyDescent="0.2">
      <c r="B102" s="1" t="s">
        <v>154</v>
      </c>
    </row>
    <row r="103" spans="2:2" x14ac:dyDescent="0.2">
      <c r="B103" s="1" t="s">
        <v>248</v>
      </c>
    </row>
    <row r="104" spans="2:2" x14ac:dyDescent="0.2">
      <c r="B104" s="1" t="s">
        <v>249</v>
      </c>
    </row>
    <row r="105" spans="2:2" x14ac:dyDescent="0.2">
      <c r="B105" s="1" t="s">
        <v>250</v>
      </c>
    </row>
    <row r="106" spans="2:2" x14ac:dyDescent="0.2">
      <c r="B106" s="1" t="s">
        <v>251</v>
      </c>
    </row>
    <row r="107" spans="2:2" x14ac:dyDescent="0.2">
      <c r="B107" s="1" t="s">
        <v>252</v>
      </c>
    </row>
    <row r="108" spans="2:2" x14ac:dyDescent="0.2">
      <c r="B108" s="1" t="s">
        <v>253</v>
      </c>
    </row>
    <row r="109" spans="2:2" x14ac:dyDescent="0.2">
      <c r="B109" s="1" t="s">
        <v>255</v>
      </c>
    </row>
    <row r="110" spans="2:2" x14ac:dyDescent="0.2">
      <c r="B110" s="1" t="s">
        <v>254</v>
      </c>
    </row>
    <row r="111" spans="2:2" x14ac:dyDescent="0.2">
      <c r="B111" s="1" t="s">
        <v>256</v>
      </c>
    </row>
    <row r="112" spans="2:2" x14ac:dyDescent="0.2">
      <c r="B112" s="1" t="s">
        <v>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2020-04-13T18:25:37Z</dcterms:modified>
</cp:coreProperties>
</file>