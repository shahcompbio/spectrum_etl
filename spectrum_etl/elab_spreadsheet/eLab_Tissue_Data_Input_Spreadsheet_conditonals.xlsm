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spectrum_etl/spectrum_etl/elab_spreadsheet/"/>
    </mc:Choice>
  </mc:AlternateContent>
  <xr:revisionPtr revIDLastSave="0" documentId="13_ncr:1_{3C1AAE5F-58F3-0243-B05A-F605B3F9C505}" xr6:coauthVersionLast="45" xr6:coauthVersionMax="45" xr10:uidLastSave="{00000000-0000-0000-0000-000000000000}"/>
  <workbookProtection lockStructure="1"/>
  <bookViews>
    <workbookView xWindow="0" yWindow="46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6" i="1" l="1"/>
  <c r="BG7" i="1" l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6" i="1"/>
  <c r="AH7" i="1"/>
  <c r="AH8" i="1"/>
  <c r="AH9" i="1"/>
  <c r="AH10" i="1"/>
  <c r="AH11" i="1"/>
  <c r="AH12" i="1"/>
  <c r="AH13" i="1"/>
  <c r="AH14" i="1"/>
  <c r="AH15" i="1"/>
  <c r="AG17" i="1"/>
  <c r="AG16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F16" i="1"/>
  <c r="A15" i="1"/>
  <c r="A14" i="1"/>
  <c r="A13" i="1"/>
  <c r="A12" i="1"/>
  <c r="J7" i="1"/>
  <c r="J8" i="1"/>
  <c r="J9" i="1"/>
  <c r="J10" i="1"/>
  <c r="J11" i="1"/>
  <c r="J12" i="1"/>
  <c r="J13" i="1"/>
  <c r="J14" i="1"/>
  <c r="J15" i="1"/>
  <c r="J6" i="1"/>
  <c r="P6" i="1"/>
  <c r="A11" i="1"/>
  <c r="A10" i="1"/>
  <c r="A9" i="1"/>
  <c r="A8" i="1"/>
  <c r="A7" i="1"/>
  <c r="A6" i="1"/>
  <c r="W7" i="1" l="1"/>
  <c r="W8" i="1"/>
  <c r="W9" i="1"/>
  <c r="W10" i="1"/>
  <c r="W11" i="1"/>
  <c r="W12" i="1"/>
  <c r="W13" i="1"/>
  <c r="W14" i="1"/>
  <c r="W15" i="1"/>
  <c r="M5" i="1"/>
  <c r="W5" i="1"/>
  <c r="L5" i="1"/>
  <c r="J5" i="1"/>
  <c r="R4" i="2"/>
  <c r="A5" i="1"/>
</calcChain>
</file>

<file path=xl/sharedStrings.xml><?xml version="1.0" encoding="utf-8"?>
<sst xmlns="http://schemas.openxmlformats.org/spreadsheetml/2006/main" count="288" uniqueCount="252">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</sst>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48"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39"/>
  <sheetViews>
    <sheetView tabSelected="1" zoomScaleNormal="100" workbookViewId="0">
      <pane ySplit="4" topLeftCell="A7" activePane="bottomLeft" state="frozen"/>
      <selection activeCell="P1" sqref="P1"/>
      <selection pane="bottomLeft" activeCell="H13" sqref="H13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16.6640625" style="2" hidden="1" customWidth="1"/>
    <col min="35" max="35" width="12.5" style="2" hidden="1" customWidth="1"/>
    <col min="36" max="36" width="22.6640625" style="2" hidden="1" customWidth="1"/>
    <col min="37" max="37" width="19.5" style="2" hidden="1" customWidth="1"/>
    <col min="38" max="38" width="19" style="2" hidden="1" customWidth="1"/>
    <col min="39" max="40" width="25.33203125" style="2" hidden="1" customWidth="1"/>
    <col min="41" max="41" width="9.6640625" style="2" hidden="1" customWidth="1"/>
    <col min="42" max="42" width="12.1640625" style="2" hidden="1" customWidth="1"/>
    <col min="43" max="43" width="13.1640625" style="2" hidden="1" customWidth="1"/>
    <col min="44" max="44" width="6" style="2" hidden="1" customWidth="1"/>
    <col min="45" max="45" width="17.1640625" style="2" hidden="1" customWidth="1"/>
    <col min="46" max="46" width="19" style="2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21.83203125" style="2" hidden="1" customWidth="1"/>
    <col min="51" max="51" width="14" style="2" hidden="1" customWidth="1"/>
    <col min="52" max="52" width="17.83203125" style="2" hidden="1" customWidth="1"/>
    <col min="53" max="53" width="14.5" style="2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16384" width="10.83203125" style="2"/>
  </cols>
  <sheetData>
    <row r="1" spans="1:72" ht="18" thickTop="1" thickBot="1" x14ac:dyDescent="0.25">
      <c r="J1" s="22" t="s">
        <v>249</v>
      </c>
      <c r="K1" s="23" t="s">
        <v>250</v>
      </c>
      <c r="L1" s="24" t="s">
        <v>251</v>
      </c>
    </row>
    <row r="2" spans="1:72" ht="17" thickTop="1" x14ac:dyDescent="0.2"/>
    <row r="3" spans="1:72" s="6" customFormat="1" x14ac:dyDescent="0.2">
      <c r="A3" s="20" t="s">
        <v>47</v>
      </c>
      <c r="B3" s="20"/>
      <c r="C3" s="20"/>
      <c r="D3" s="20"/>
      <c r="E3" s="20"/>
      <c r="F3" s="20" t="s">
        <v>48</v>
      </c>
      <c r="G3" s="20"/>
      <c r="H3" s="20"/>
      <c r="I3" s="20"/>
      <c r="J3" s="20"/>
      <c r="K3" s="20"/>
      <c r="L3" s="13" t="s">
        <v>49</v>
      </c>
      <c r="M3" s="20" t="s">
        <v>50</v>
      </c>
      <c r="N3" s="20"/>
      <c r="O3" s="7"/>
      <c r="P3" s="20" t="s">
        <v>51</v>
      </c>
      <c r="Q3" s="20"/>
      <c r="R3" s="20"/>
      <c r="S3" s="20"/>
      <c r="T3" s="20"/>
      <c r="U3" s="20" t="s">
        <v>52</v>
      </c>
      <c r="V3" s="20"/>
      <c r="W3" s="20"/>
      <c r="X3" s="20"/>
      <c r="Y3" s="20"/>
      <c r="Z3" s="6" t="s">
        <v>53</v>
      </c>
      <c r="AA3" s="20" t="s">
        <v>54</v>
      </c>
      <c r="AB3" s="20"/>
      <c r="AC3" s="20"/>
      <c r="AD3" s="20" t="s">
        <v>224</v>
      </c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S3" s="20" t="s">
        <v>55</v>
      </c>
      <c r="AT3" s="20"/>
      <c r="AU3" s="20"/>
      <c r="AV3" s="20"/>
      <c r="AW3" s="20" t="s">
        <v>56</v>
      </c>
      <c r="AX3" s="20"/>
      <c r="AY3" s="20"/>
      <c r="AZ3" s="20"/>
      <c r="BA3" s="20"/>
      <c r="BB3" s="20" t="s">
        <v>57</v>
      </c>
      <c r="BC3" s="20"/>
      <c r="BD3" s="20" t="s">
        <v>58</v>
      </c>
      <c r="BE3" s="20"/>
      <c r="BF3" s="20" t="s">
        <v>225</v>
      </c>
      <c r="BG3" s="21"/>
      <c r="BH3" s="21"/>
      <c r="BI3" s="21"/>
      <c r="BJ3" s="21"/>
      <c r="BK3" s="21"/>
      <c r="BL3" s="21"/>
      <c r="BM3" s="21"/>
      <c r="BN3" s="20" t="s">
        <v>59</v>
      </c>
      <c r="BO3" s="20"/>
      <c r="BP3" s="20"/>
    </row>
    <row r="4" spans="1:72" s="5" customFormat="1" x14ac:dyDescent="0.2">
      <c r="A4" s="5" t="s">
        <v>1</v>
      </c>
      <c r="B4" s="5" t="s">
        <v>222</v>
      </c>
      <c r="C4" s="5" t="s">
        <v>223</v>
      </c>
      <c r="D4" s="19" t="s">
        <v>0</v>
      </c>
      <c r="E4" s="19" t="s">
        <v>246</v>
      </c>
      <c r="F4" s="5" t="s">
        <v>2</v>
      </c>
      <c r="G4" s="19" t="s">
        <v>3</v>
      </c>
      <c r="H4" s="19" t="s">
        <v>247</v>
      </c>
      <c r="I4" s="19" t="s">
        <v>4</v>
      </c>
      <c r="J4" s="5" t="s">
        <v>5</v>
      </c>
      <c r="K4" s="19" t="s">
        <v>221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241</v>
      </c>
      <c r="AG4" s="5" t="s">
        <v>240</v>
      </c>
      <c r="AH4" s="5" t="s">
        <v>27</v>
      </c>
      <c r="AI4" s="5" t="s">
        <v>239</v>
      </c>
      <c r="AJ4" s="5" t="s">
        <v>238</v>
      </c>
      <c r="AK4" s="5" t="s">
        <v>237</v>
      </c>
      <c r="AL4" s="5" t="s">
        <v>236</v>
      </c>
      <c r="AM4" s="5" t="s">
        <v>235</v>
      </c>
      <c r="AN4" s="5" t="s">
        <v>234</v>
      </c>
      <c r="AO4" s="5" t="s">
        <v>29</v>
      </c>
      <c r="AP4" s="5" t="s">
        <v>30</v>
      </c>
      <c r="AQ4" s="5" t="s">
        <v>31</v>
      </c>
      <c r="AR4" s="5" t="s">
        <v>32</v>
      </c>
      <c r="AS4" s="5" t="s">
        <v>33</v>
      </c>
      <c r="AT4" s="5" t="s">
        <v>34</v>
      </c>
      <c r="AU4" s="5" t="s">
        <v>35</v>
      </c>
      <c r="AV4" s="5" t="s">
        <v>243</v>
      </c>
      <c r="AW4" s="5" t="s">
        <v>36</v>
      </c>
      <c r="AX4" s="5" t="s">
        <v>37</v>
      </c>
      <c r="AY4" s="5" t="s">
        <v>38</v>
      </c>
      <c r="AZ4" s="5" t="s">
        <v>39</v>
      </c>
      <c r="BA4" s="5" t="s">
        <v>40</v>
      </c>
      <c r="BB4" s="5" t="s">
        <v>41</v>
      </c>
      <c r="BC4" s="5" t="s">
        <v>42</v>
      </c>
      <c r="BD4" s="5" t="s">
        <v>43</v>
      </c>
      <c r="BE4" s="5" t="s">
        <v>44</v>
      </c>
      <c r="BF4" s="5" t="s">
        <v>226</v>
      </c>
      <c r="BG4" s="5" t="s">
        <v>233</v>
      </c>
      <c r="BH4" s="5" t="s">
        <v>232</v>
      </c>
      <c r="BI4" s="5" t="s">
        <v>231</v>
      </c>
      <c r="BJ4" s="5" t="s">
        <v>230</v>
      </c>
      <c r="BK4" s="5" t="s">
        <v>229</v>
      </c>
      <c r="BL4" s="5" t="s">
        <v>228</v>
      </c>
      <c r="BM4" s="5" t="s">
        <v>227</v>
      </c>
      <c r="BN4" s="5" t="s">
        <v>242</v>
      </c>
      <c r="BO4" s="5" t="s">
        <v>45</v>
      </c>
      <c r="BP4" s="5" t="s">
        <v>46</v>
      </c>
    </row>
    <row r="5" spans="1:72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218</v>
      </c>
    </row>
    <row r="6" spans="1:72" x14ac:dyDescent="0.2">
      <c r="A6" s="4" t="str">
        <f ca="1">IF($D6="", "", INDIRECT("$D6"))</f>
        <v/>
      </c>
      <c r="B6" s="25"/>
      <c r="C6" s="25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15" si="0">IF($L6="no", "HGSC", "")</f>
        <v/>
      </c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/>
      <c r="AH6" s="8"/>
      <c r="AI6" s="10"/>
      <c r="AJ6" s="10"/>
      <c r="AK6" s="10"/>
      <c r="AL6" s="10"/>
      <c r="AM6" s="10"/>
      <c r="AN6" s="10"/>
      <c r="AO6" s="8"/>
      <c r="AP6" s="10"/>
      <c r="AQ6" s="10"/>
      <c r="AR6" s="10"/>
      <c r="AS6" s="10"/>
      <c r="AT6" s="10"/>
      <c r="AU6" s="10"/>
      <c r="AV6" s="10"/>
      <c r="AW6" s="16"/>
      <c r="AX6" s="16"/>
      <c r="AY6" s="10"/>
      <c r="AZ6" s="10"/>
      <c r="BA6" s="10"/>
      <c r="BB6" s="10"/>
      <c r="BC6" s="10"/>
      <c r="BD6" s="10"/>
      <c r="BE6" s="10"/>
      <c r="BF6" s="16"/>
      <c r="BG6" s="8" t="str">
        <f>IF($BF6="", "", "IGO")</f>
        <v/>
      </c>
      <c r="BH6" s="10"/>
      <c r="BI6" s="10"/>
      <c r="BJ6" s="10"/>
      <c r="BK6" s="10"/>
      <c r="BL6" s="10"/>
      <c r="BM6" s="10"/>
      <c r="BN6" s="16"/>
      <c r="BO6" s="10"/>
      <c r="BP6" s="10"/>
    </row>
    <row r="7" spans="1:72" x14ac:dyDescent="0.2">
      <c r="A7" s="4" t="str">
        <f ca="1">IF($D7="", "", INDIRECT("$D7"))</f>
        <v/>
      </c>
      <c r="B7" s="25"/>
      <c r="C7" s="25"/>
      <c r="D7" s="14"/>
      <c r="E7" s="15"/>
      <c r="F7" s="8" t="str">
        <f t="shared" ref="F7:F15" si="1">IF(OR($G7="Primary Debulking", $G7="Laparoscopic Biopsy"), "0", IF($G7="Interval Debulking", "1", ""))</f>
        <v/>
      </c>
      <c r="G7" s="14"/>
      <c r="H7" s="12"/>
      <c r="I7" s="14"/>
      <c r="J7" s="8" t="str">
        <f t="shared" ref="J7:J15" si="2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8" t="str">
        <f t="shared" ref="AH7:AH15" si="3">IF($AF7="", "", "5000")</f>
        <v/>
      </c>
      <c r="AI7" s="10"/>
      <c r="AJ7" s="10"/>
      <c r="AK7" s="10"/>
      <c r="AL7" s="10"/>
      <c r="AM7" s="10"/>
      <c r="AN7" s="10"/>
      <c r="AO7" s="8"/>
      <c r="AP7" s="10"/>
      <c r="AQ7" s="10"/>
      <c r="AR7" s="10"/>
      <c r="AS7" s="10"/>
      <c r="AT7" s="10"/>
      <c r="AU7" s="10"/>
      <c r="AV7" s="10"/>
      <c r="AW7" s="16"/>
      <c r="AX7" s="16"/>
      <c r="AY7" s="10"/>
      <c r="AZ7" s="10"/>
      <c r="BA7" s="10"/>
      <c r="BB7" s="10"/>
      <c r="BC7" s="10"/>
      <c r="BD7" s="10"/>
      <c r="BE7" s="10"/>
      <c r="BF7" s="16"/>
      <c r="BG7" s="8" t="str">
        <f t="shared" ref="BG7:BG27" si="4">IF($BF7="", "", "IGO")</f>
        <v/>
      </c>
      <c r="BH7" s="10"/>
      <c r="BI7" s="10"/>
      <c r="BJ7" s="10"/>
      <c r="BK7" s="10"/>
      <c r="BL7" s="10"/>
      <c r="BM7" s="10"/>
      <c r="BN7" s="16"/>
      <c r="BO7" s="10"/>
      <c r="BP7" s="10"/>
    </row>
    <row r="8" spans="1:72" x14ac:dyDescent="0.2">
      <c r="A8" s="4" t="str">
        <f ca="1">IF($D8="", "", INDIRECT("$D8"))</f>
        <v/>
      </c>
      <c r="B8" s="25"/>
      <c r="C8" s="25"/>
      <c r="D8" s="14"/>
      <c r="E8" s="15"/>
      <c r="F8" s="8" t="str">
        <f t="shared" si="1"/>
        <v/>
      </c>
      <c r="G8" s="14"/>
      <c r="H8" s="12"/>
      <c r="I8" s="14"/>
      <c r="J8" s="8" t="str">
        <f t="shared" si="2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6:W15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17" si="6">IF($AF8="", "", "IGO")</f>
        <v/>
      </c>
      <c r="AH8" s="8" t="str">
        <f t="shared" si="3"/>
        <v/>
      </c>
      <c r="AI8" s="10"/>
      <c r="AJ8" s="10"/>
      <c r="AK8" s="10"/>
      <c r="AL8" s="10"/>
      <c r="AM8" s="10"/>
      <c r="AN8" s="10"/>
      <c r="AO8" s="8"/>
      <c r="AP8" s="10"/>
      <c r="AQ8" s="10"/>
      <c r="AR8" s="10"/>
      <c r="AS8" s="10"/>
      <c r="AT8" s="10"/>
      <c r="AU8" s="10"/>
      <c r="AV8" s="10"/>
      <c r="AW8" s="16"/>
      <c r="AX8" s="16"/>
      <c r="AY8" s="10"/>
      <c r="AZ8" s="10"/>
      <c r="BA8" s="10"/>
      <c r="BB8" s="10"/>
      <c r="BC8" s="10"/>
      <c r="BD8" s="10"/>
      <c r="BE8" s="10"/>
      <c r="BF8" s="16"/>
      <c r="BG8" s="8" t="str">
        <f t="shared" si="4"/>
        <v/>
      </c>
      <c r="BH8" s="10"/>
      <c r="BI8" s="10"/>
      <c r="BJ8" s="10"/>
      <c r="BK8" s="10"/>
      <c r="BL8" s="10"/>
      <c r="BM8" s="10"/>
      <c r="BN8" s="16"/>
      <c r="BO8" s="10"/>
      <c r="BP8" s="10"/>
    </row>
    <row r="9" spans="1:72" x14ac:dyDescent="0.2">
      <c r="A9" s="4" t="str">
        <f ca="1">IF($D9="", "", INDIRECT("$D9"))</f>
        <v/>
      </c>
      <c r="B9" s="25"/>
      <c r="C9" s="25"/>
      <c r="D9" s="14"/>
      <c r="E9" s="15"/>
      <c r="F9" s="8" t="str">
        <f t="shared" si="1"/>
        <v/>
      </c>
      <c r="G9" s="14"/>
      <c r="H9" s="12"/>
      <c r="I9" s="14"/>
      <c r="J9" s="8" t="str">
        <f t="shared" si="2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H9" s="8" t="str">
        <f t="shared" si="3"/>
        <v/>
      </c>
      <c r="AI9" s="10"/>
      <c r="AJ9" s="10"/>
      <c r="AK9" s="10"/>
      <c r="AL9" s="10"/>
      <c r="AM9" s="10"/>
      <c r="AN9" s="10"/>
      <c r="AO9" s="8"/>
      <c r="AP9" s="10"/>
      <c r="AQ9" s="10"/>
      <c r="AR9" s="10"/>
      <c r="AS9" s="10"/>
      <c r="AT9" s="10"/>
      <c r="AU9" s="10"/>
      <c r="AV9" s="10"/>
      <c r="AW9" s="16"/>
      <c r="AX9" s="16"/>
      <c r="AY9" s="10"/>
      <c r="AZ9" s="10"/>
      <c r="BA9" s="10"/>
      <c r="BB9" s="10"/>
      <c r="BC9" s="10"/>
      <c r="BD9" s="10"/>
      <c r="BE9" s="10"/>
      <c r="BF9" s="16"/>
      <c r="BG9" s="8" t="str">
        <f t="shared" si="4"/>
        <v/>
      </c>
      <c r="BH9" s="10"/>
      <c r="BI9" s="10"/>
      <c r="BJ9" s="10"/>
      <c r="BK9" s="10"/>
      <c r="BL9" s="10"/>
      <c r="BM9" s="10"/>
      <c r="BN9" s="16"/>
      <c r="BO9" s="10"/>
      <c r="BP9" s="10"/>
    </row>
    <row r="10" spans="1:72" x14ac:dyDescent="0.2">
      <c r="A10" s="4" t="str">
        <f ca="1">IF($D10="", "", INDIRECT("$D10"))</f>
        <v/>
      </c>
      <c r="B10" s="25"/>
      <c r="C10" s="25"/>
      <c r="D10" s="14"/>
      <c r="E10" s="15"/>
      <c r="F10" s="8" t="str">
        <f t="shared" si="1"/>
        <v/>
      </c>
      <c r="G10" s="14"/>
      <c r="H10" s="12"/>
      <c r="I10" s="14"/>
      <c r="J10" s="8" t="str">
        <f t="shared" si="2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H10" s="8" t="str">
        <f t="shared" si="3"/>
        <v/>
      </c>
      <c r="AI10" s="10"/>
      <c r="AJ10" s="10"/>
      <c r="AK10" s="10"/>
      <c r="AL10" s="10"/>
      <c r="AM10" s="10"/>
      <c r="AN10" s="10"/>
      <c r="AO10" s="8"/>
      <c r="AP10" s="10"/>
      <c r="AQ10" s="10"/>
      <c r="AR10" s="10"/>
      <c r="AS10" s="10"/>
      <c r="AT10" s="10"/>
      <c r="AU10" s="10"/>
      <c r="AV10" s="10"/>
      <c r="AW10" s="16"/>
      <c r="AX10" s="16"/>
      <c r="AY10" s="10"/>
      <c r="AZ10" s="10"/>
      <c r="BA10" s="10"/>
      <c r="BB10" s="10"/>
      <c r="BC10" s="10"/>
      <c r="BD10" s="10"/>
      <c r="BE10" s="10"/>
      <c r="BF10" s="16"/>
      <c r="BG10" s="8" t="str">
        <f t="shared" si="4"/>
        <v/>
      </c>
      <c r="BH10" s="10"/>
      <c r="BI10" s="10"/>
      <c r="BJ10" s="10"/>
      <c r="BK10" s="10"/>
      <c r="BL10" s="10"/>
      <c r="BM10" s="10"/>
      <c r="BN10" s="16"/>
      <c r="BO10" s="10"/>
      <c r="BP10" s="10"/>
    </row>
    <row r="11" spans="1:72" x14ac:dyDescent="0.2">
      <c r="A11" s="4" t="str">
        <f ca="1">IF($D11="", "", INDIRECT("$D11"))</f>
        <v/>
      </c>
      <c r="B11" s="25"/>
      <c r="C11" s="25"/>
      <c r="D11" s="14"/>
      <c r="E11" s="15"/>
      <c r="F11" s="8" t="str">
        <f t="shared" si="1"/>
        <v/>
      </c>
      <c r="G11" s="14"/>
      <c r="H11" s="12"/>
      <c r="I11" s="14"/>
      <c r="J11" s="8" t="str">
        <f t="shared" si="2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H11" s="8" t="str">
        <f t="shared" si="3"/>
        <v/>
      </c>
      <c r="AI11" s="10"/>
      <c r="AJ11" s="10"/>
      <c r="AK11" s="10"/>
      <c r="AL11" s="10"/>
      <c r="AM11" s="10"/>
      <c r="AN11" s="10"/>
      <c r="AO11" s="8"/>
      <c r="AP11" s="10"/>
      <c r="AQ11" s="10"/>
      <c r="AR11" s="10"/>
      <c r="AS11" s="10"/>
      <c r="AT11" s="10"/>
      <c r="AU11" s="10"/>
      <c r="AV11" s="10"/>
      <c r="AW11" s="16"/>
      <c r="AX11" s="16"/>
      <c r="AY11" s="10"/>
      <c r="AZ11" s="10"/>
      <c r="BA11" s="10"/>
      <c r="BB11" s="10"/>
      <c r="BC11" s="10"/>
      <c r="BD11" s="10"/>
      <c r="BE11" s="10"/>
      <c r="BF11" s="16"/>
      <c r="BG11" s="8" t="str">
        <f t="shared" si="4"/>
        <v/>
      </c>
      <c r="BH11" s="10"/>
      <c r="BI11" s="10"/>
      <c r="BJ11" s="10"/>
      <c r="BK11" s="10"/>
      <c r="BL11" s="10"/>
      <c r="BM11" s="10"/>
      <c r="BN11" s="16"/>
      <c r="BO11" s="10"/>
      <c r="BP11" s="10"/>
    </row>
    <row r="12" spans="1:72" x14ac:dyDescent="0.2">
      <c r="A12" s="4" t="str">
        <f ca="1">IF($D12="", "", INDIRECT("$D12"))</f>
        <v/>
      </c>
      <c r="B12" s="25"/>
      <c r="C12" s="25"/>
      <c r="F12" s="8" t="str">
        <f t="shared" si="1"/>
        <v/>
      </c>
      <c r="H12" s="12"/>
      <c r="J12" s="8" t="str">
        <f t="shared" si="2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H12" s="8" t="str">
        <f t="shared" si="3"/>
        <v/>
      </c>
      <c r="AI12" s="10"/>
      <c r="AJ12" s="10"/>
      <c r="AK12" s="10"/>
      <c r="AL12" s="10"/>
      <c r="AM12" s="10"/>
      <c r="AN12" s="10"/>
      <c r="AO12" s="8"/>
      <c r="AP12" s="10"/>
      <c r="AQ12" s="10"/>
      <c r="AR12" s="10"/>
      <c r="AS12" s="10"/>
      <c r="AT12" s="10"/>
      <c r="AU12" s="10"/>
      <c r="AV12" s="10"/>
      <c r="AW12" s="16"/>
      <c r="AX12" s="16"/>
      <c r="AY12" s="10"/>
      <c r="AZ12" s="10"/>
      <c r="BA12" s="10"/>
      <c r="BB12" s="10"/>
      <c r="BC12" s="10"/>
      <c r="BD12" s="10"/>
      <c r="BE12" s="10"/>
      <c r="BF12" s="16"/>
      <c r="BG12" s="8" t="str">
        <f t="shared" si="4"/>
        <v/>
      </c>
      <c r="BH12" s="10"/>
      <c r="BI12" s="10"/>
      <c r="BJ12" s="10"/>
      <c r="BK12" s="10"/>
      <c r="BL12" s="10"/>
      <c r="BM12" s="10"/>
      <c r="BN12" s="16"/>
      <c r="BO12" s="10"/>
      <c r="BP12" s="10"/>
    </row>
    <row r="13" spans="1:72" x14ac:dyDescent="0.2">
      <c r="A13" s="4" t="str">
        <f ca="1">IF($D13="", "", INDIRECT("$D13"))</f>
        <v/>
      </c>
      <c r="B13" s="25"/>
      <c r="C13" s="25"/>
      <c r="F13" s="8" t="str">
        <f t="shared" si="1"/>
        <v/>
      </c>
      <c r="H13" s="12"/>
      <c r="J13" s="8" t="str">
        <f t="shared" si="2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H13" s="8" t="str">
        <f t="shared" si="3"/>
        <v/>
      </c>
      <c r="AI13" s="10"/>
      <c r="AJ13" s="10"/>
      <c r="AK13" s="10"/>
      <c r="AL13" s="10"/>
      <c r="AM13" s="10"/>
      <c r="AN13" s="10"/>
      <c r="AO13" s="8"/>
      <c r="AP13" s="10"/>
      <c r="AQ13" s="10"/>
      <c r="AR13" s="10"/>
      <c r="AS13" s="10"/>
      <c r="AT13" s="10"/>
      <c r="AU13" s="10"/>
      <c r="AV13" s="10"/>
      <c r="AW13" s="16"/>
      <c r="AX13" s="16"/>
      <c r="AY13" s="10"/>
      <c r="AZ13" s="10"/>
      <c r="BA13" s="10"/>
      <c r="BB13" s="10"/>
      <c r="BC13" s="10"/>
      <c r="BD13" s="10"/>
      <c r="BE13" s="10"/>
      <c r="BF13" s="16"/>
      <c r="BG13" s="8" t="str">
        <f t="shared" si="4"/>
        <v/>
      </c>
      <c r="BH13" s="10"/>
      <c r="BI13" s="10"/>
      <c r="BJ13" s="10"/>
      <c r="BK13" s="10"/>
      <c r="BL13" s="10"/>
      <c r="BM13" s="10"/>
      <c r="BN13" s="16"/>
      <c r="BO13" s="10"/>
      <c r="BP13" s="10"/>
    </row>
    <row r="14" spans="1:72" x14ac:dyDescent="0.2">
      <c r="A14" s="4" t="str">
        <f ca="1">IF($D14="", "", INDIRECT("$D14"))</f>
        <v/>
      </c>
      <c r="B14" s="25"/>
      <c r="C14" s="25"/>
      <c r="F14" s="8" t="str">
        <f t="shared" si="1"/>
        <v/>
      </c>
      <c r="H14" s="12"/>
      <c r="J14" s="8" t="str">
        <f t="shared" si="2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H14" s="8" t="str">
        <f t="shared" si="3"/>
        <v/>
      </c>
      <c r="AI14" s="10"/>
      <c r="AJ14" s="10"/>
      <c r="AK14" s="10"/>
      <c r="AL14" s="10"/>
      <c r="AM14" s="10"/>
      <c r="AN14" s="10"/>
      <c r="AO14" s="8"/>
      <c r="AP14" s="10"/>
      <c r="AQ14" s="10"/>
      <c r="AR14" s="10"/>
      <c r="AS14" s="10"/>
      <c r="AT14" s="10"/>
      <c r="AU14" s="10"/>
      <c r="AV14" s="10"/>
      <c r="AW14" s="16"/>
      <c r="AX14" s="16"/>
      <c r="AY14" s="10"/>
      <c r="AZ14" s="10"/>
      <c r="BA14" s="10"/>
      <c r="BB14" s="10"/>
      <c r="BC14" s="10"/>
      <c r="BD14" s="10"/>
      <c r="BE14" s="10"/>
      <c r="BF14" s="16"/>
      <c r="BG14" s="8" t="str">
        <f t="shared" si="4"/>
        <v/>
      </c>
      <c r="BH14" s="10"/>
      <c r="BI14" s="10"/>
      <c r="BJ14" s="10"/>
      <c r="BK14" s="10"/>
      <c r="BL14" s="10"/>
      <c r="BM14" s="10"/>
      <c r="BN14" s="16"/>
      <c r="BO14" s="10"/>
      <c r="BP14" s="10"/>
    </row>
    <row r="15" spans="1:72" x14ac:dyDescent="0.2">
      <c r="A15" s="4" t="str">
        <f ca="1">IF($D15="", "", INDIRECT("$D15"))</f>
        <v/>
      </c>
      <c r="B15" s="25"/>
      <c r="C15" s="25"/>
      <c r="F15" s="8" t="str">
        <f t="shared" si="1"/>
        <v/>
      </c>
      <c r="H15" s="12"/>
      <c r="J15" s="8" t="str">
        <f t="shared" si="2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H15" s="8" t="str">
        <f t="shared" si="3"/>
        <v/>
      </c>
      <c r="AI15" s="10"/>
      <c r="AJ15" s="10"/>
      <c r="AK15" s="10"/>
      <c r="AL15" s="10"/>
      <c r="AM15" s="10"/>
      <c r="AN15" s="10"/>
      <c r="AO15" s="8"/>
      <c r="AP15" s="10"/>
      <c r="AQ15" s="10"/>
      <c r="AR15" s="10"/>
      <c r="AS15" s="10"/>
      <c r="AT15" s="10"/>
      <c r="AU15" s="10"/>
      <c r="AV15" s="10"/>
      <c r="AW15" s="16"/>
      <c r="AX15" s="16"/>
      <c r="AY15" s="10"/>
      <c r="AZ15" s="10"/>
      <c r="BA15" s="10"/>
      <c r="BB15" s="10"/>
      <c r="BC15" s="10"/>
      <c r="BD15" s="10"/>
      <c r="BE15" s="10"/>
      <c r="BF15" s="16"/>
      <c r="BG15" s="8" t="str">
        <f t="shared" si="4"/>
        <v/>
      </c>
      <c r="BH15" s="10"/>
      <c r="BI15" s="10"/>
      <c r="BJ15" s="10"/>
      <c r="BK15" s="10"/>
      <c r="BL15" s="10"/>
      <c r="BM15" s="10"/>
      <c r="BN15" s="16"/>
      <c r="BO15" s="10"/>
      <c r="BP15" s="10"/>
    </row>
    <row r="16" spans="1:72" x14ac:dyDescent="0.2">
      <c r="A16" s="4"/>
      <c r="B16" s="25"/>
      <c r="C16" s="25"/>
      <c r="D16" s="9"/>
      <c r="E16" s="9"/>
      <c r="F16" s="8" t="str">
        <f t="shared" ref="F16" si="7">IF($G16="Primary Debulking", "0", "")</f>
        <v/>
      </c>
      <c r="G16" s="10"/>
      <c r="H16" s="10"/>
      <c r="I16" s="10"/>
      <c r="J16" s="8"/>
      <c r="K16" s="10"/>
      <c r="L16" s="10"/>
      <c r="M16" s="10"/>
      <c r="N16" s="10"/>
      <c r="O16" s="10"/>
      <c r="P16" s="8"/>
      <c r="Q16" s="10"/>
      <c r="R16" s="10"/>
      <c r="S16" s="10"/>
      <c r="T16" s="10"/>
      <c r="U16" s="10"/>
      <c r="V16" s="10"/>
      <c r="W16" s="8"/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H16" s="8"/>
      <c r="AI16" s="10"/>
      <c r="AJ16" s="10"/>
      <c r="AK16" s="10"/>
      <c r="AL16" s="10"/>
      <c r="AM16" s="10"/>
      <c r="AN16" s="10"/>
      <c r="AO16" s="8"/>
      <c r="AP16" s="10"/>
      <c r="AQ16" s="10"/>
      <c r="AR16" s="10"/>
      <c r="AS16" s="10"/>
      <c r="AT16" s="10"/>
      <c r="AU16" s="10"/>
      <c r="AV16" s="10"/>
      <c r="AW16" s="16"/>
      <c r="AX16" s="16"/>
      <c r="AY16" s="10"/>
      <c r="AZ16" s="10"/>
      <c r="BA16" s="10"/>
      <c r="BB16" s="10"/>
      <c r="BC16" s="10"/>
      <c r="BD16" s="10"/>
      <c r="BE16" s="10"/>
      <c r="BF16" s="16"/>
      <c r="BG16" s="8" t="str">
        <f t="shared" si="4"/>
        <v/>
      </c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10"/>
      <c r="BS16" s="10"/>
      <c r="BT16" s="10"/>
    </row>
    <row r="17" spans="1:72" x14ac:dyDescent="0.2">
      <c r="A17" s="4"/>
      <c r="B17" s="25"/>
      <c r="C17" s="25"/>
      <c r="D17" s="9"/>
      <c r="E17" s="9"/>
      <c r="F17" s="8"/>
      <c r="G17" s="10"/>
      <c r="H17" s="10"/>
      <c r="I17" s="10"/>
      <c r="J17" s="8"/>
      <c r="K17" s="10"/>
      <c r="L17" s="10"/>
      <c r="M17" s="10"/>
      <c r="N17" s="10"/>
      <c r="O17" s="10"/>
      <c r="P17" s="8"/>
      <c r="Q17" s="10"/>
      <c r="R17" s="10"/>
      <c r="S17" s="10"/>
      <c r="T17" s="10"/>
      <c r="U17" s="10"/>
      <c r="V17" s="10"/>
      <c r="W17" s="8"/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H17" s="8"/>
      <c r="AI17" s="10"/>
      <c r="AJ17" s="10"/>
      <c r="AK17" s="10"/>
      <c r="AL17" s="10"/>
      <c r="AM17" s="10"/>
      <c r="AN17" s="10"/>
      <c r="AO17" s="8"/>
      <c r="AP17" s="10"/>
      <c r="AQ17" s="10"/>
      <c r="AR17" s="10"/>
      <c r="AS17" s="10"/>
      <c r="AT17" s="10"/>
      <c r="AU17" s="10"/>
      <c r="AV17" s="10"/>
      <c r="AW17" s="16"/>
      <c r="AX17" s="16"/>
      <c r="AY17" s="10"/>
      <c r="AZ17" s="10"/>
      <c r="BA17" s="10"/>
      <c r="BB17" s="10"/>
      <c r="BC17" s="10"/>
      <c r="BD17" s="10"/>
      <c r="BE17" s="10"/>
      <c r="BF17" s="16"/>
      <c r="BG17" s="8" t="str">
        <f t="shared" si="4"/>
        <v/>
      </c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10"/>
      <c r="BS17" s="10"/>
      <c r="BT17" s="10"/>
    </row>
    <row r="18" spans="1:72" x14ac:dyDescent="0.2">
      <c r="A18" s="4"/>
      <c r="B18" s="25"/>
      <c r="C18" s="25"/>
      <c r="D18" s="9"/>
      <c r="E18" s="9"/>
      <c r="F18" s="8"/>
      <c r="G18" s="10"/>
      <c r="H18" s="10"/>
      <c r="I18" s="10"/>
      <c r="J18" s="8"/>
      <c r="K18" s="10"/>
      <c r="L18" s="10"/>
      <c r="M18" s="10"/>
      <c r="N18" s="10"/>
      <c r="O18" s="10"/>
      <c r="P18" s="8"/>
      <c r="Q18" s="10"/>
      <c r="R18" s="10"/>
      <c r="S18" s="10"/>
      <c r="T18" s="10"/>
      <c r="U18" s="10"/>
      <c r="V18" s="10"/>
      <c r="W18" s="8"/>
      <c r="X18" s="10"/>
      <c r="Y18" s="10"/>
      <c r="Z18" s="10"/>
      <c r="AA18" s="10"/>
      <c r="AB18" s="10"/>
      <c r="AC18" s="10"/>
      <c r="AD18" s="10"/>
      <c r="AE18" s="10"/>
      <c r="AF18" s="16"/>
      <c r="AG18" s="8"/>
      <c r="AH18" s="8"/>
      <c r="AI18" s="10"/>
      <c r="AJ18" s="10"/>
      <c r="AK18" s="10"/>
      <c r="AL18" s="10"/>
      <c r="AM18" s="10"/>
      <c r="AN18" s="10"/>
      <c r="AO18" s="8"/>
      <c r="AP18" s="10"/>
      <c r="AQ18" s="10"/>
      <c r="AR18" s="10"/>
      <c r="AS18" s="10"/>
      <c r="AT18" s="10"/>
      <c r="AU18" s="10"/>
      <c r="AV18" s="10"/>
      <c r="AW18" s="16"/>
      <c r="AX18" s="16"/>
      <c r="AY18" s="10"/>
      <c r="AZ18" s="10"/>
      <c r="BA18" s="10"/>
      <c r="BB18" s="10"/>
      <c r="BC18" s="10"/>
      <c r="BD18" s="10"/>
      <c r="BE18" s="10"/>
      <c r="BF18" s="16"/>
      <c r="BG18" s="8" t="str">
        <f t="shared" si="4"/>
        <v/>
      </c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10"/>
      <c r="BS18" s="10"/>
      <c r="BT18" s="10"/>
    </row>
    <row r="19" spans="1:72" x14ac:dyDescent="0.2">
      <c r="A19" s="4"/>
      <c r="B19" s="25"/>
      <c r="C19" s="25"/>
      <c r="D19" s="9"/>
      <c r="E19" s="9"/>
      <c r="F19" s="8"/>
      <c r="G19" s="10"/>
      <c r="H19" s="10"/>
      <c r="I19" s="10"/>
      <c r="J19" s="8"/>
      <c r="K19" s="10"/>
      <c r="L19" s="10"/>
      <c r="M19" s="10"/>
      <c r="N19" s="10"/>
      <c r="O19" s="10"/>
      <c r="P19" s="8"/>
      <c r="Q19" s="10"/>
      <c r="R19" s="10"/>
      <c r="S19" s="10"/>
      <c r="T19" s="10"/>
      <c r="U19" s="10"/>
      <c r="V19" s="10"/>
      <c r="W19" s="8"/>
      <c r="X19" s="10"/>
      <c r="Y19" s="10"/>
      <c r="Z19" s="10"/>
      <c r="AA19" s="10"/>
      <c r="AB19" s="10"/>
      <c r="AC19" s="10"/>
      <c r="AD19" s="10"/>
      <c r="AE19" s="10"/>
      <c r="AF19" s="16"/>
      <c r="AG19" s="8"/>
      <c r="AH19" s="8"/>
      <c r="AI19" s="10"/>
      <c r="AJ19" s="10"/>
      <c r="AK19" s="10"/>
      <c r="AL19" s="10"/>
      <c r="AM19" s="10"/>
      <c r="AN19" s="10"/>
      <c r="AO19" s="8"/>
      <c r="AP19" s="10"/>
      <c r="AQ19" s="10"/>
      <c r="AR19" s="10"/>
      <c r="AS19" s="10"/>
      <c r="AT19" s="10"/>
      <c r="AU19" s="10"/>
      <c r="AV19" s="10"/>
      <c r="AW19" s="16"/>
      <c r="AX19" s="16"/>
      <c r="AY19" s="10"/>
      <c r="AZ19" s="10"/>
      <c r="BA19" s="10"/>
      <c r="BB19" s="10"/>
      <c r="BC19" s="10"/>
      <c r="BD19" s="10"/>
      <c r="BE19" s="10"/>
      <c r="BF19" s="16"/>
      <c r="BG19" s="8" t="str">
        <f t="shared" si="4"/>
        <v/>
      </c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10"/>
      <c r="BS19" s="10"/>
      <c r="BT19" s="10"/>
    </row>
    <row r="20" spans="1:72" x14ac:dyDescent="0.2">
      <c r="A20" s="4"/>
      <c r="B20" s="25"/>
      <c r="C20" s="25"/>
      <c r="D20" s="9"/>
      <c r="E20" s="9"/>
      <c r="F20" s="8"/>
      <c r="G20" s="10"/>
      <c r="H20" s="10"/>
      <c r="I20" s="10"/>
      <c r="J20" s="8"/>
      <c r="K20" s="10"/>
      <c r="L20" s="10"/>
      <c r="M20" s="10"/>
      <c r="N20" s="10"/>
      <c r="O20" s="10"/>
      <c r="P20" s="8"/>
      <c r="Q20" s="10"/>
      <c r="R20" s="10"/>
      <c r="S20" s="10"/>
      <c r="T20" s="10"/>
      <c r="U20" s="10"/>
      <c r="V20" s="10"/>
      <c r="W20" s="8"/>
      <c r="X20" s="10"/>
      <c r="Y20" s="10"/>
      <c r="Z20" s="10"/>
      <c r="AA20" s="10"/>
      <c r="AB20" s="10"/>
      <c r="AC20" s="10"/>
      <c r="AD20" s="10"/>
      <c r="AE20" s="10"/>
      <c r="AF20" s="16"/>
      <c r="AG20" s="8"/>
      <c r="AH20" s="8"/>
      <c r="AI20" s="10"/>
      <c r="AJ20" s="10"/>
      <c r="AK20" s="10"/>
      <c r="AL20" s="10"/>
      <c r="AM20" s="10"/>
      <c r="AN20" s="10"/>
      <c r="AO20" s="8"/>
      <c r="AP20" s="10"/>
      <c r="AQ20" s="10"/>
      <c r="AR20" s="10"/>
      <c r="AS20" s="10"/>
      <c r="AT20" s="10"/>
      <c r="AU20" s="10"/>
      <c r="AV20" s="10"/>
      <c r="AW20" s="16"/>
      <c r="AX20" s="16"/>
      <c r="AY20" s="10"/>
      <c r="AZ20" s="10"/>
      <c r="BA20" s="10"/>
      <c r="BB20" s="10"/>
      <c r="BC20" s="10"/>
      <c r="BD20" s="10"/>
      <c r="BE20" s="10"/>
      <c r="BF20" s="16"/>
      <c r="BG20" s="8" t="str">
        <f t="shared" si="4"/>
        <v/>
      </c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10"/>
      <c r="BS20" s="10"/>
      <c r="BT20" s="10"/>
    </row>
    <row r="21" spans="1:72" x14ac:dyDescent="0.2">
      <c r="A21" s="4"/>
      <c r="B21" s="25"/>
      <c r="C21" s="25"/>
      <c r="D21" s="9"/>
      <c r="E21" s="9"/>
      <c r="F21" s="8"/>
      <c r="G21" s="10"/>
      <c r="H21" s="10"/>
      <c r="I21" s="10"/>
      <c r="J21" s="8"/>
      <c r="K21" s="10"/>
      <c r="L21" s="10"/>
      <c r="M21" s="10"/>
      <c r="N21" s="10"/>
      <c r="O21" s="10"/>
      <c r="P21" s="8"/>
      <c r="Q21" s="10"/>
      <c r="R21" s="10"/>
      <c r="S21" s="10"/>
      <c r="T21" s="10"/>
      <c r="U21" s="10"/>
      <c r="V21" s="10"/>
      <c r="W21" s="8"/>
      <c r="X21" s="10"/>
      <c r="Y21" s="10"/>
      <c r="Z21" s="10"/>
      <c r="AA21" s="10"/>
      <c r="AB21" s="10"/>
      <c r="AC21" s="10"/>
      <c r="AD21" s="10"/>
      <c r="AE21" s="10"/>
      <c r="AF21" s="16"/>
      <c r="AG21" s="8"/>
      <c r="AH21" s="8"/>
      <c r="AI21" s="10"/>
      <c r="AJ21" s="10"/>
      <c r="AK21" s="10"/>
      <c r="AL21" s="10"/>
      <c r="AM21" s="10"/>
      <c r="AN21" s="10"/>
      <c r="AO21" s="8"/>
      <c r="AP21" s="10"/>
      <c r="AQ21" s="10"/>
      <c r="AR21" s="10"/>
      <c r="AS21" s="10"/>
      <c r="AT21" s="10"/>
      <c r="AU21" s="10"/>
      <c r="AV21" s="10"/>
      <c r="AW21" s="16"/>
      <c r="AX21" s="16"/>
      <c r="AY21" s="10"/>
      <c r="AZ21" s="10"/>
      <c r="BA21" s="10"/>
      <c r="BB21" s="10"/>
      <c r="BC21" s="10"/>
      <c r="BD21" s="10"/>
      <c r="BE21" s="10"/>
      <c r="BF21" s="16"/>
      <c r="BG21" s="8" t="str">
        <f t="shared" si="4"/>
        <v/>
      </c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10"/>
      <c r="BS21" s="10"/>
      <c r="BT21" s="10"/>
    </row>
    <row r="22" spans="1:72" x14ac:dyDescent="0.2">
      <c r="A22" s="4"/>
      <c r="B22" s="25"/>
      <c r="C22" s="25"/>
      <c r="D22" s="9"/>
      <c r="E22" s="9"/>
      <c r="F22" s="8"/>
      <c r="G22" s="10"/>
      <c r="H22" s="10"/>
      <c r="I22" s="10"/>
      <c r="J22" s="8"/>
      <c r="K22" s="10"/>
      <c r="L22" s="10"/>
      <c r="M22" s="10"/>
      <c r="N22" s="10"/>
      <c r="O22" s="10"/>
      <c r="P22" s="8"/>
      <c r="Q22" s="10"/>
      <c r="R22" s="10"/>
      <c r="S22" s="10"/>
      <c r="T22" s="10"/>
      <c r="U22" s="10"/>
      <c r="V22" s="10"/>
      <c r="W22" s="8"/>
      <c r="X22" s="10"/>
      <c r="Y22" s="10"/>
      <c r="Z22" s="10"/>
      <c r="AA22" s="10"/>
      <c r="AB22" s="10"/>
      <c r="AC22" s="10"/>
      <c r="AD22" s="10"/>
      <c r="AE22" s="10"/>
      <c r="AF22" s="16"/>
      <c r="AG22" s="8"/>
      <c r="AH22" s="8"/>
      <c r="AI22" s="10"/>
      <c r="AJ22" s="10"/>
      <c r="AK22" s="10"/>
      <c r="AL22" s="10"/>
      <c r="AM22" s="10"/>
      <c r="AN22" s="10"/>
      <c r="AO22" s="8"/>
      <c r="AP22" s="10"/>
      <c r="AQ22" s="10"/>
      <c r="AR22" s="10"/>
      <c r="AS22" s="10"/>
      <c r="AT22" s="10"/>
      <c r="AU22" s="10"/>
      <c r="AV22" s="10"/>
      <c r="AW22" s="16"/>
      <c r="AX22" s="16"/>
      <c r="AY22" s="10"/>
      <c r="AZ22" s="10"/>
      <c r="BA22" s="10"/>
      <c r="BB22" s="10"/>
      <c r="BC22" s="10"/>
      <c r="BD22" s="10"/>
      <c r="BE22" s="10"/>
      <c r="BF22" s="16"/>
      <c r="BG22" s="8" t="str">
        <f t="shared" si="4"/>
        <v/>
      </c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10"/>
      <c r="BS22" s="10"/>
      <c r="BT22" s="10"/>
    </row>
    <row r="23" spans="1:72" x14ac:dyDescent="0.2">
      <c r="B23" s="25"/>
      <c r="C23" s="25"/>
      <c r="D23" s="9"/>
      <c r="E23" s="9"/>
      <c r="F23" s="8"/>
      <c r="G23" s="10"/>
      <c r="H23" s="10"/>
      <c r="I23" s="10"/>
      <c r="J23" s="8"/>
      <c r="K23" s="10"/>
      <c r="L23" s="10"/>
      <c r="M23" s="10"/>
      <c r="N23" s="10"/>
      <c r="O23" s="10"/>
      <c r="P23" s="8"/>
      <c r="Q23" s="10"/>
      <c r="R23" s="10"/>
      <c r="S23" s="10"/>
      <c r="T23" s="10"/>
      <c r="U23" s="10"/>
      <c r="V23" s="10"/>
      <c r="W23" s="8"/>
      <c r="X23" s="10"/>
      <c r="Y23" s="10"/>
      <c r="Z23" s="10"/>
      <c r="AA23" s="10"/>
      <c r="AB23" s="10"/>
      <c r="AC23" s="10"/>
      <c r="AD23" s="10"/>
      <c r="AE23" s="10"/>
      <c r="AF23" s="16"/>
      <c r="AG23" s="8"/>
      <c r="AH23" s="8"/>
      <c r="AI23" s="10"/>
      <c r="AJ23" s="10"/>
      <c r="AK23" s="10"/>
      <c r="AL23" s="10"/>
      <c r="AM23" s="10"/>
      <c r="AN23" s="10"/>
      <c r="AO23" s="8"/>
      <c r="AP23" s="10"/>
      <c r="AQ23" s="10"/>
      <c r="AR23" s="10"/>
      <c r="AS23" s="10"/>
      <c r="AT23" s="10"/>
      <c r="AU23" s="10"/>
      <c r="AV23" s="10"/>
      <c r="AW23" s="16"/>
      <c r="AX23" s="16"/>
      <c r="AY23" s="10"/>
      <c r="AZ23" s="10"/>
      <c r="BA23" s="10"/>
      <c r="BB23" s="10"/>
      <c r="BC23" s="10"/>
      <c r="BD23" s="10"/>
      <c r="BE23" s="10"/>
      <c r="BF23" s="16"/>
      <c r="BG23" s="8" t="str">
        <f t="shared" si="4"/>
        <v/>
      </c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10"/>
      <c r="BS23" s="10"/>
      <c r="BT23" s="10"/>
    </row>
    <row r="24" spans="1:72" x14ac:dyDescent="0.2">
      <c r="B24" s="25"/>
      <c r="C24" s="25"/>
      <c r="D24" s="9"/>
      <c r="E24" s="9"/>
      <c r="F24" s="8"/>
      <c r="G24" s="10"/>
      <c r="H24" s="10"/>
      <c r="I24" s="10"/>
      <c r="J24" s="8"/>
      <c r="K24" s="10"/>
      <c r="L24" s="10"/>
      <c r="M24" s="10"/>
      <c r="N24" s="10"/>
      <c r="O24" s="10"/>
      <c r="P24" s="8"/>
      <c r="Q24" s="10"/>
      <c r="R24" s="10"/>
      <c r="S24" s="10"/>
      <c r="T24" s="10"/>
      <c r="U24" s="10"/>
      <c r="V24" s="10"/>
      <c r="W24" s="8"/>
      <c r="X24" s="10"/>
      <c r="Y24" s="10"/>
      <c r="Z24" s="10"/>
      <c r="AA24" s="10"/>
      <c r="AB24" s="10"/>
      <c r="AC24" s="10"/>
      <c r="AD24" s="10"/>
      <c r="AE24" s="10"/>
      <c r="AF24" s="16"/>
      <c r="AG24" s="8"/>
      <c r="AH24" s="8"/>
      <c r="AI24" s="10"/>
      <c r="AJ24" s="10"/>
      <c r="AK24" s="10"/>
      <c r="AL24" s="10"/>
      <c r="AM24" s="10"/>
      <c r="AN24" s="10"/>
      <c r="AO24" s="8"/>
      <c r="AP24" s="10"/>
      <c r="AQ24" s="10"/>
      <c r="AR24" s="10"/>
      <c r="AS24" s="10"/>
      <c r="AT24" s="10"/>
      <c r="AU24" s="10"/>
      <c r="AV24" s="10"/>
      <c r="AW24" s="16"/>
      <c r="AX24" s="16"/>
      <c r="AY24" s="10"/>
      <c r="AZ24" s="10"/>
      <c r="BA24" s="10"/>
      <c r="BB24" s="10"/>
      <c r="BC24" s="10"/>
      <c r="BD24" s="10"/>
      <c r="BE24" s="10"/>
      <c r="BF24" s="16"/>
      <c r="BG24" s="8" t="str">
        <f t="shared" si="4"/>
        <v/>
      </c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10"/>
      <c r="BS24" s="10"/>
      <c r="BT24" s="10"/>
    </row>
    <row r="25" spans="1:72" x14ac:dyDescent="0.2">
      <c r="B25" s="25"/>
      <c r="C25" s="25"/>
      <c r="D25" s="9"/>
      <c r="E25" s="9"/>
      <c r="F25" s="8"/>
      <c r="G25" s="10"/>
      <c r="H25" s="10"/>
      <c r="I25" s="10"/>
      <c r="J25" s="8"/>
      <c r="K25" s="10"/>
      <c r="L25" s="10"/>
      <c r="M25" s="10"/>
      <c r="N25" s="10"/>
      <c r="O25" s="10"/>
      <c r="P25" s="8"/>
      <c r="Q25" s="10"/>
      <c r="R25" s="10"/>
      <c r="S25" s="10"/>
      <c r="T25" s="10"/>
      <c r="U25" s="10"/>
      <c r="V25" s="10"/>
      <c r="W25" s="8"/>
      <c r="X25" s="10"/>
      <c r="Y25" s="10"/>
      <c r="Z25" s="10"/>
      <c r="AA25" s="10"/>
      <c r="AB25" s="10"/>
      <c r="AC25" s="10"/>
      <c r="AD25" s="10"/>
      <c r="AE25" s="10"/>
      <c r="AF25" s="16"/>
      <c r="AG25" s="8"/>
      <c r="AH25" s="8"/>
      <c r="AI25" s="10"/>
      <c r="AJ25" s="10"/>
      <c r="AK25" s="10"/>
      <c r="AL25" s="10"/>
      <c r="AM25" s="10"/>
      <c r="AN25" s="10"/>
      <c r="AO25" s="8"/>
      <c r="AP25" s="10"/>
      <c r="AQ25" s="10"/>
      <c r="AR25" s="10"/>
      <c r="AS25" s="10"/>
      <c r="AT25" s="10"/>
      <c r="AU25" s="10"/>
      <c r="AV25" s="10"/>
      <c r="AW25" s="16"/>
      <c r="AX25" s="16"/>
      <c r="AY25" s="10"/>
      <c r="AZ25" s="10"/>
      <c r="BA25" s="10"/>
      <c r="BB25" s="10"/>
      <c r="BC25" s="10"/>
      <c r="BD25" s="10"/>
      <c r="BE25" s="10"/>
      <c r="BF25" s="16"/>
      <c r="BG25" s="8" t="str">
        <f t="shared" si="4"/>
        <v/>
      </c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10"/>
      <c r="BS25" s="10"/>
      <c r="BT25" s="10"/>
    </row>
    <row r="26" spans="1:72" x14ac:dyDescent="0.2">
      <c r="B26" s="25"/>
      <c r="C26" s="25"/>
      <c r="D26" s="9"/>
      <c r="E26" s="9"/>
      <c r="F26" s="8"/>
      <c r="G26" s="10"/>
      <c r="H26" s="10"/>
      <c r="I26" s="10"/>
      <c r="J26" s="8"/>
      <c r="K26" s="10"/>
      <c r="L26" s="10"/>
      <c r="M26" s="10"/>
      <c r="N26" s="10"/>
      <c r="O26" s="10"/>
      <c r="P26" s="8"/>
      <c r="Q26" s="10"/>
      <c r="R26" s="10"/>
      <c r="S26" s="10"/>
      <c r="T26" s="10"/>
      <c r="U26" s="10"/>
      <c r="V26" s="10"/>
      <c r="W26" s="8"/>
      <c r="X26" s="10"/>
      <c r="Y26" s="10"/>
      <c r="Z26" s="10"/>
      <c r="AA26" s="10"/>
      <c r="AB26" s="10"/>
      <c r="AC26" s="10"/>
      <c r="AD26" s="10"/>
      <c r="AE26" s="10"/>
      <c r="AF26" s="16"/>
      <c r="AG26" s="8"/>
      <c r="AH26" s="8"/>
      <c r="AI26" s="10"/>
      <c r="AJ26" s="10"/>
      <c r="AK26" s="10"/>
      <c r="AL26" s="10"/>
      <c r="AM26" s="10"/>
      <c r="AN26" s="10"/>
      <c r="AO26" s="8"/>
      <c r="AP26" s="10"/>
      <c r="AQ26" s="10"/>
      <c r="AR26" s="10"/>
      <c r="AS26" s="10"/>
      <c r="AT26" s="10"/>
      <c r="AU26" s="10"/>
      <c r="AV26" s="10"/>
      <c r="AW26" s="16"/>
      <c r="AX26" s="16"/>
      <c r="AY26" s="10"/>
      <c r="AZ26" s="10"/>
      <c r="BA26" s="10"/>
      <c r="BB26" s="10"/>
      <c r="BC26" s="10"/>
      <c r="BD26" s="10"/>
      <c r="BE26" s="10"/>
      <c r="BF26" s="16"/>
      <c r="BG26" s="8" t="str">
        <f t="shared" si="4"/>
        <v/>
      </c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10"/>
      <c r="BS26" s="10"/>
      <c r="BT26" s="10"/>
    </row>
    <row r="27" spans="1:72" x14ac:dyDescent="0.2">
      <c r="B27" s="25"/>
      <c r="C27" s="25"/>
      <c r="D27" s="9"/>
      <c r="E27" s="9"/>
      <c r="F27" s="8"/>
      <c r="G27" s="10"/>
      <c r="H27" s="10"/>
      <c r="I27" s="10"/>
      <c r="J27" s="8"/>
      <c r="K27" s="10"/>
      <c r="L27" s="10"/>
      <c r="M27" s="10"/>
      <c r="N27" s="10"/>
      <c r="O27" s="10"/>
      <c r="P27" s="8"/>
      <c r="Q27" s="10"/>
      <c r="R27" s="10"/>
      <c r="S27" s="10"/>
      <c r="T27" s="10"/>
      <c r="U27" s="10"/>
      <c r="V27" s="10"/>
      <c r="W27" s="8"/>
      <c r="X27" s="10"/>
      <c r="Y27" s="10"/>
      <c r="Z27" s="10"/>
      <c r="AA27" s="10"/>
      <c r="AB27" s="10"/>
      <c r="AC27" s="10"/>
      <c r="AD27" s="10"/>
      <c r="AE27" s="10"/>
      <c r="AF27" s="16"/>
      <c r="AG27" s="8"/>
      <c r="AH27" s="8"/>
      <c r="AI27" s="10"/>
      <c r="AJ27" s="10"/>
      <c r="AK27" s="10"/>
      <c r="AL27" s="10"/>
      <c r="AM27" s="10"/>
      <c r="AN27" s="10"/>
      <c r="AO27" s="8"/>
      <c r="AP27" s="10"/>
      <c r="AQ27" s="10"/>
      <c r="AR27" s="10"/>
      <c r="AS27" s="10"/>
      <c r="AT27" s="10"/>
      <c r="AU27" s="10"/>
      <c r="AV27" s="10"/>
      <c r="AW27" s="16"/>
      <c r="AX27" s="16"/>
      <c r="AY27" s="10"/>
      <c r="AZ27" s="10"/>
      <c r="BA27" s="10"/>
      <c r="BB27" s="10"/>
      <c r="BC27" s="10"/>
      <c r="BD27" s="10"/>
      <c r="BE27" s="10"/>
      <c r="BF27" s="16"/>
      <c r="BG27" s="8" t="str">
        <f t="shared" si="4"/>
        <v/>
      </c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10"/>
      <c r="BS27" s="10"/>
      <c r="BT27" s="10"/>
    </row>
    <row r="28" spans="1:72" x14ac:dyDescent="0.2">
      <c r="B28" s="25"/>
      <c r="C28" s="25"/>
      <c r="D28" s="9"/>
      <c r="E28" s="9"/>
      <c r="F28" s="8"/>
      <c r="G28" s="10"/>
      <c r="H28" s="10"/>
      <c r="I28" s="10"/>
      <c r="J28" s="8"/>
      <c r="K28" s="10"/>
      <c r="L28" s="10"/>
      <c r="M28" s="10"/>
      <c r="N28" s="10"/>
      <c r="O28" s="10"/>
      <c r="P28" s="8"/>
      <c r="Q28" s="10"/>
      <c r="R28" s="10"/>
      <c r="S28" s="10"/>
      <c r="T28" s="10"/>
      <c r="U28" s="10"/>
      <c r="V28" s="10"/>
      <c r="W28" s="8"/>
      <c r="X28" s="10"/>
      <c r="Y28" s="10"/>
      <c r="Z28" s="10"/>
      <c r="AA28" s="10"/>
      <c r="AB28" s="10"/>
      <c r="AC28" s="10"/>
      <c r="AD28" s="10"/>
      <c r="AE28" s="10"/>
      <c r="AF28" s="16"/>
      <c r="AG28" s="8"/>
      <c r="AH28" s="8"/>
      <c r="AI28" s="10"/>
      <c r="AJ28" s="10"/>
      <c r="AK28" s="10"/>
      <c r="AL28" s="10"/>
      <c r="AM28" s="10"/>
      <c r="AN28" s="10"/>
      <c r="AO28" s="8"/>
      <c r="AP28" s="10"/>
      <c r="AQ28" s="10"/>
      <c r="AR28" s="10"/>
      <c r="AS28" s="10"/>
      <c r="AT28" s="10"/>
      <c r="AU28" s="10"/>
      <c r="AV28" s="10"/>
      <c r="AW28" s="16"/>
      <c r="AX28" s="16"/>
      <c r="AY28" s="10"/>
      <c r="AZ28" s="10"/>
      <c r="BA28" s="10"/>
      <c r="BB28" s="10"/>
      <c r="BC28" s="10"/>
      <c r="BD28" s="10"/>
      <c r="BE28" s="10"/>
      <c r="BF28" s="16"/>
      <c r="BG28" s="8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10"/>
      <c r="BS28" s="10"/>
      <c r="BT28" s="10"/>
    </row>
    <row r="29" spans="1:72" x14ac:dyDescent="0.2">
      <c r="B29" s="25"/>
      <c r="C29" s="25"/>
      <c r="D29" s="9"/>
      <c r="E29" s="9"/>
      <c r="F29" s="8"/>
      <c r="G29" s="10"/>
      <c r="H29" s="10"/>
      <c r="I29" s="10"/>
      <c r="J29" s="8"/>
      <c r="K29" s="10"/>
      <c r="L29" s="10"/>
      <c r="M29" s="10"/>
      <c r="N29" s="10"/>
      <c r="O29" s="10"/>
      <c r="P29" s="8"/>
      <c r="Q29" s="10"/>
      <c r="R29" s="10"/>
      <c r="S29" s="10"/>
      <c r="T29" s="10"/>
      <c r="U29" s="10"/>
      <c r="V29" s="10"/>
      <c r="W29" s="8"/>
      <c r="X29" s="10"/>
      <c r="Y29" s="10"/>
      <c r="Z29" s="10"/>
      <c r="AA29" s="10"/>
      <c r="AB29" s="10"/>
      <c r="AC29" s="10"/>
      <c r="AD29" s="10"/>
      <c r="AE29" s="10"/>
      <c r="AF29" s="16"/>
      <c r="AG29" s="8"/>
      <c r="AH29" s="8"/>
      <c r="AI29" s="10"/>
      <c r="AJ29" s="10"/>
      <c r="AK29" s="10"/>
      <c r="AL29" s="10"/>
      <c r="AM29" s="10"/>
      <c r="AN29" s="10"/>
      <c r="AO29" s="8"/>
      <c r="AP29" s="10"/>
      <c r="AQ29" s="10"/>
      <c r="AR29" s="10"/>
      <c r="AS29" s="10"/>
      <c r="AT29" s="10"/>
      <c r="AU29" s="10"/>
      <c r="AV29" s="10"/>
      <c r="AW29" s="16"/>
      <c r="AX29" s="16"/>
      <c r="AY29" s="10"/>
      <c r="AZ29" s="10"/>
      <c r="BA29" s="10"/>
      <c r="BB29" s="10"/>
      <c r="BC29" s="10"/>
      <c r="BD29" s="10"/>
      <c r="BE29" s="10"/>
      <c r="BF29" s="10"/>
      <c r="BG29" s="8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10"/>
      <c r="BS29" s="10"/>
      <c r="BT29" s="10"/>
    </row>
    <row r="30" spans="1:72" x14ac:dyDescent="0.2">
      <c r="B30" s="25"/>
      <c r="C30" s="25"/>
      <c r="D30" s="9"/>
      <c r="E30" s="9"/>
      <c r="F30" s="8"/>
      <c r="G30" s="10"/>
      <c r="H30" s="10"/>
      <c r="I30" s="10"/>
      <c r="J30" s="8"/>
      <c r="K30" s="10"/>
      <c r="L30" s="10"/>
      <c r="M30" s="10"/>
      <c r="N30" s="10"/>
      <c r="O30" s="10"/>
      <c r="P30" s="8"/>
      <c r="Q30" s="10"/>
      <c r="R30" s="10"/>
      <c r="S30" s="10"/>
      <c r="T30" s="10"/>
      <c r="U30" s="10"/>
      <c r="V30" s="10"/>
      <c r="W30" s="8"/>
      <c r="X30" s="10"/>
      <c r="Y30" s="10"/>
      <c r="Z30" s="10"/>
      <c r="AA30" s="10"/>
      <c r="AB30" s="10"/>
      <c r="AC30" s="10"/>
      <c r="AD30" s="10"/>
      <c r="AE30" s="10"/>
      <c r="AF30" s="16"/>
      <c r="AG30" s="8"/>
      <c r="AH30" s="8"/>
      <c r="AI30" s="10"/>
      <c r="AJ30" s="10"/>
      <c r="AK30" s="10"/>
      <c r="AL30" s="10"/>
      <c r="AM30" s="10"/>
      <c r="AN30" s="10"/>
      <c r="AO30" s="8"/>
      <c r="AP30" s="10"/>
      <c r="AQ30" s="10"/>
      <c r="AR30" s="10"/>
      <c r="AS30" s="10"/>
      <c r="AT30" s="10"/>
      <c r="AU30" s="10"/>
      <c r="AV30" s="10"/>
      <c r="AW30" s="16"/>
      <c r="AX30" s="16"/>
      <c r="AY30" s="10"/>
      <c r="AZ30" s="10"/>
      <c r="BA30" s="10"/>
      <c r="BB30" s="10"/>
      <c r="BC30" s="10"/>
      <c r="BD30" s="10"/>
      <c r="BE30" s="10"/>
      <c r="BF30" s="10"/>
      <c r="BG30" s="8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10"/>
      <c r="BS30" s="10"/>
      <c r="BT30" s="10"/>
    </row>
    <row r="31" spans="1:72" x14ac:dyDescent="0.2">
      <c r="B31" s="9"/>
      <c r="C31" s="9"/>
      <c r="D31" s="9"/>
      <c r="E31" s="9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6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6"/>
      <c r="AX31" s="16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0"/>
      <c r="BT31" s="10"/>
    </row>
    <row r="32" spans="1:72" x14ac:dyDescent="0.2">
      <c r="B32" s="9"/>
      <c r="C32" s="9"/>
      <c r="D32" s="9"/>
      <c r="E32" s="9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6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6"/>
      <c r="AX32" s="16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0"/>
      <c r="BT32" s="10"/>
    </row>
    <row r="33" spans="2:72" x14ac:dyDescent="0.2">
      <c r="B33" s="9"/>
      <c r="C33" s="9"/>
      <c r="D33" s="9"/>
      <c r="E33" s="9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6"/>
      <c r="AX33" s="16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0"/>
      <c r="BT33" s="10"/>
    </row>
    <row r="34" spans="2:72" x14ac:dyDescent="0.2">
      <c r="B34" s="9"/>
      <c r="C34" s="9"/>
      <c r="D34" s="9"/>
      <c r="E34" s="9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</row>
    <row r="35" spans="2:72" x14ac:dyDescent="0.2">
      <c r="B35" s="9"/>
      <c r="C35" s="9"/>
      <c r="D35" s="9"/>
      <c r="E35" s="9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</row>
    <row r="36" spans="2:72" x14ac:dyDescent="0.2">
      <c r="B36" s="9"/>
      <c r="C36" s="9"/>
      <c r="D36" s="9"/>
      <c r="E36" s="9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</row>
    <row r="37" spans="2:72" x14ac:dyDescent="0.2">
      <c r="B37" s="9"/>
      <c r="C37" s="9"/>
      <c r="D37" s="9"/>
      <c r="E37" s="9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</row>
    <row r="38" spans="2:72" x14ac:dyDescent="0.2">
      <c r="B38" s="9"/>
      <c r="C38" s="9"/>
      <c r="D38" s="9"/>
      <c r="E38" s="9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</row>
    <row r="39" spans="2:72" x14ac:dyDescent="0.2">
      <c r="B39" s="9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</row>
    <row r="40" spans="2:72" x14ac:dyDescent="0.2">
      <c r="B40" s="9"/>
      <c r="C40" s="9"/>
      <c r="D40" s="9"/>
      <c r="E40" s="9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</row>
    <row r="41" spans="2:72" x14ac:dyDescent="0.2">
      <c r="B41" s="9"/>
      <c r="C41" s="9"/>
      <c r="D41" s="9"/>
      <c r="E41" s="9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</row>
    <row r="42" spans="2:72" x14ac:dyDescent="0.2">
      <c r="B42" s="9"/>
      <c r="C42" s="9"/>
      <c r="D42" s="9"/>
      <c r="E42" s="9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</row>
    <row r="43" spans="2:72" x14ac:dyDescent="0.2">
      <c r="B43" s="9"/>
      <c r="C43" s="9"/>
      <c r="D43" s="9"/>
      <c r="E43" s="9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</row>
    <row r="44" spans="2:72" x14ac:dyDescent="0.2">
      <c r="B44" s="9"/>
      <c r="C44" s="9"/>
      <c r="D44" s="9"/>
      <c r="E44" s="9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</row>
    <row r="45" spans="2:72" x14ac:dyDescent="0.2">
      <c r="B45" s="9"/>
      <c r="C45" s="9"/>
      <c r="D45" s="9"/>
      <c r="E45" s="9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</row>
    <row r="46" spans="2:72" x14ac:dyDescent="0.2">
      <c r="B46" s="9"/>
      <c r="C46" s="9"/>
      <c r="D46" s="9"/>
      <c r="E46" s="9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</row>
    <row r="47" spans="2:72" x14ac:dyDescent="0.2">
      <c r="B47" s="9"/>
      <c r="C47" s="9"/>
      <c r="D47" s="9"/>
      <c r="E47" s="9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</row>
    <row r="48" spans="2:72" x14ac:dyDescent="0.2">
      <c r="B48" s="9"/>
      <c r="C48" s="9"/>
      <c r="D48" s="9"/>
      <c r="E48" s="9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</row>
    <row r="49" spans="2:72" x14ac:dyDescent="0.2">
      <c r="B49" s="9"/>
      <c r="C49" s="9"/>
      <c r="D49" s="9"/>
      <c r="E49" s="9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</row>
    <row r="50" spans="2:72" x14ac:dyDescent="0.2">
      <c r="B50" s="9"/>
      <c r="C50" s="9"/>
      <c r="D50" s="9"/>
      <c r="E50" s="9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</row>
    <row r="51" spans="2:72" x14ac:dyDescent="0.2">
      <c r="B51" s="9"/>
      <c r="C51" s="9"/>
      <c r="D51" s="9"/>
      <c r="E51" s="9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</row>
    <row r="52" spans="2:72" x14ac:dyDescent="0.2">
      <c r="B52" s="9"/>
      <c r="C52" s="9"/>
      <c r="D52" s="9"/>
      <c r="E52" s="9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</row>
    <row r="53" spans="2:72" x14ac:dyDescent="0.2">
      <c r="B53" s="9"/>
      <c r="C53" s="9"/>
      <c r="D53" s="9"/>
      <c r="E53" s="9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</row>
    <row r="54" spans="2:72" x14ac:dyDescent="0.2">
      <c r="B54" s="9"/>
      <c r="C54" s="9"/>
      <c r="D54" s="9"/>
      <c r="E54" s="9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</row>
    <row r="55" spans="2:72" x14ac:dyDescent="0.2">
      <c r="B55" s="9"/>
      <c r="C55" s="9"/>
      <c r="D55" s="9"/>
      <c r="E55" s="9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</row>
    <row r="56" spans="2:72" x14ac:dyDescent="0.2">
      <c r="B56" s="9"/>
      <c r="C56" s="9"/>
      <c r="D56" s="9"/>
      <c r="E56" s="9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</row>
    <row r="57" spans="2:72" x14ac:dyDescent="0.2">
      <c r="B57" s="9"/>
      <c r="C57" s="9"/>
      <c r="D57" s="9"/>
      <c r="E57" s="9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</row>
    <row r="58" spans="2:72" x14ac:dyDescent="0.2">
      <c r="B58" s="9"/>
      <c r="C58" s="9"/>
      <c r="D58" s="9"/>
      <c r="E58" s="9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</row>
    <row r="59" spans="2:72" x14ac:dyDescent="0.2">
      <c r="B59" s="9"/>
      <c r="C59" s="9"/>
      <c r="D59" s="9"/>
      <c r="E59" s="9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</row>
    <row r="60" spans="2:72" x14ac:dyDescent="0.2">
      <c r="B60" s="9"/>
      <c r="C60" s="9"/>
      <c r="D60" s="9"/>
      <c r="E60" s="9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</row>
    <row r="61" spans="2:72" x14ac:dyDescent="0.2">
      <c r="B61" s="9"/>
      <c r="C61" s="9"/>
      <c r="D61" s="9"/>
      <c r="E61" s="9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</row>
    <row r="62" spans="2:72" x14ac:dyDescent="0.2">
      <c r="B62" s="9"/>
      <c r="C62" s="9"/>
      <c r="D62" s="9"/>
      <c r="E62" s="9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</row>
    <row r="63" spans="2:72" x14ac:dyDescent="0.2">
      <c r="B63" s="9"/>
      <c r="C63" s="9"/>
      <c r="D63" s="9"/>
      <c r="E63" s="9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</row>
    <row r="64" spans="2:72" x14ac:dyDescent="0.2">
      <c r="B64" s="9"/>
      <c r="C64" s="9"/>
      <c r="D64" s="9"/>
      <c r="E64" s="9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</row>
    <row r="65" spans="2:72" x14ac:dyDescent="0.2">
      <c r="B65" s="9"/>
      <c r="C65" s="9"/>
      <c r="D65" s="9"/>
      <c r="E65" s="9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</row>
    <row r="66" spans="2:72" x14ac:dyDescent="0.2">
      <c r="B66" s="9"/>
      <c r="C66" s="9"/>
      <c r="D66" s="9"/>
      <c r="E66" s="9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</row>
    <row r="67" spans="2:72" x14ac:dyDescent="0.2">
      <c r="B67" s="9"/>
      <c r="C67" s="9"/>
      <c r="D67" s="9"/>
      <c r="E67" s="9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</row>
    <row r="68" spans="2:72" x14ac:dyDescent="0.2">
      <c r="B68" s="9"/>
      <c r="C68" s="9"/>
      <c r="D68" s="9"/>
      <c r="E68" s="9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</row>
    <row r="69" spans="2:72" x14ac:dyDescent="0.2">
      <c r="B69" s="9"/>
      <c r="C69" s="9"/>
      <c r="D69" s="9"/>
      <c r="E69" s="9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</row>
    <row r="70" spans="2:72" x14ac:dyDescent="0.2">
      <c r="B70" s="9"/>
      <c r="C70" s="9"/>
      <c r="D70" s="9"/>
      <c r="E70" s="9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</row>
    <row r="71" spans="2:72" x14ac:dyDescent="0.2">
      <c r="B71" s="9"/>
      <c r="C71" s="9"/>
      <c r="D71" s="9"/>
      <c r="E71" s="9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</row>
    <row r="72" spans="2:72" x14ac:dyDescent="0.2">
      <c r="B72" s="9"/>
      <c r="C72" s="9"/>
      <c r="D72" s="9"/>
      <c r="E72" s="9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</row>
    <row r="73" spans="2:72" x14ac:dyDescent="0.2">
      <c r="B73" s="9"/>
      <c r="C73" s="9"/>
      <c r="D73" s="9"/>
      <c r="E73" s="9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</row>
    <row r="74" spans="2:72" x14ac:dyDescent="0.2">
      <c r="B74" s="9"/>
      <c r="C74" s="9"/>
      <c r="D74" s="9"/>
      <c r="E74" s="9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</row>
    <row r="75" spans="2:72" x14ac:dyDescent="0.2">
      <c r="B75" s="9"/>
      <c r="C75" s="9"/>
      <c r="D75" s="9"/>
      <c r="E75" s="9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</row>
    <row r="76" spans="2:72" x14ac:dyDescent="0.2">
      <c r="B76" s="9"/>
      <c r="C76" s="9"/>
      <c r="D76" s="9"/>
      <c r="E76" s="9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</row>
    <row r="77" spans="2:72" x14ac:dyDescent="0.2">
      <c r="B77" s="9"/>
      <c r="C77" s="9"/>
      <c r="D77" s="9"/>
      <c r="E77" s="9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</row>
    <row r="78" spans="2:72" x14ac:dyDescent="0.2">
      <c r="B78" s="9"/>
      <c r="C78" s="9"/>
      <c r="D78" s="9"/>
      <c r="E78" s="9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</row>
    <row r="79" spans="2:72" x14ac:dyDescent="0.2">
      <c r="B79" s="9"/>
      <c r="C79" s="9"/>
      <c r="D79" s="9"/>
      <c r="E79" s="9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</row>
    <row r="80" spans="2:72" x14ac:dyDescent="0.2">
      <c r="B80" s="9"/>
      <c r="C80" s="9"/>
      <c r="D80" s="9"/>
      <c r="E80" s="9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</row>
    <row r="81" spans="2:72" x14ac:dyDescent="0.2">
      <c r="B81" s="9"/>
      <c r="C81" s="9"/>
      <c r="D81" s="9"/>
      <c r="E81" s="9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</row>
    <row r="82" spans="2:72" x14ac:dyDescent="0.2">
      <c r="B82" s="9"/>
      <c r="C82" s="9"/>
      <c r="D82" s="9"/>
      <c r="E82" s="9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</row>
    <row r="83" spans="2:72" x14ac:dyDescent="0.2">
      <c r="B83" s="9"/>
      <c r="C83" s="9"/>
      <c r="D83" s="9"/>
      <c r="E83" s="9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</row>
    <row r="84" spans="2:72" x14ac:dyDescent="0.2">
      <c r="B84" s="9"/>
      <c r="C84" s="9"/>
      <c r="D84" s="9"/>
      <c r="E84" s="9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</row>
    <row r="85" spans="2:72" x14ac:dyDescent="0.2">
      <c r="B85" s="9"/>
      <c r="C85" s="9"/>
      <c r="D85" s="9"/>
      <c r="E85" s="9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</row>
    <row r="86" spans="2:72" x14ac:dyDescent="0.2">
      <c r="B86" s="9"/>
      <c r="C86" s="9"/>
      <c r="D86" s="9"/>
      <c r="E86" s="9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</row>
    <row r="87" spans="2:72" x14ac:dyDescent="0.2">
      <c r="B87" s="9"/>
      <c r="C87" s="9"/>
      <c r="D87" s="9"/>
      <c r="E87" s="9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</row>
    <row r="88" spans="2:72" x14ac:dyDescent="0.2">
      <c r="B88" s="9"/>
      <c r="C88" s="9"/>
      <c r="D88" s="9"/>
      <c r="E88" s="9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</row>
    <row r="89" spans="2:72" x14ac:dyDescent="0.2">
      <c r="B89" s="9"/>
      <c r="C89" s="9"/>
      <c r="D89" s="9"/>
      <c r="E89" s="9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</row>
    <row r="90" spans="2:72" x14ac:dyDescent="0.2">
      <c r="B90" s="9"/>
      <c r="C90" s="9"/>
      <c r="D90" s="9"/>
      <c r="E90" s="9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</row>
    <row r="91" spans="2:72" x14ac:dyDescent="0.2">
      <c r="B91" s="9"/>
      <c r="C91" s="9"/>
      <c r="D91" s="9"/>
      <c r="E91" s="9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</row>
    <row r="92" spans="2:72" x14ac:dyDescent="0.2">
      <c r="B92" s="9"/>
      <c r="C92" s="9"/>
      <c r="D92" s="9"/>
      <c r="E92" s="9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</row>
    <row r="93" spans="2:72" x14ac:dyDescent="0.2">
      <c r="B93" s="9"/>
      <c r="C93" s="9"/>
      <c r="D93" s="9"/>
      <c r="E93" s="9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</row>
    <row r="94" spans="2:72" x14ac:dyDescent="0.2">
      <c r="B94" s="9"/>
      <c r="C94" s="9"/>
      <c r="D94" s="9"/>
      <c r="E94" s="9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</row>
    <row r="95" spans="2:72" x14ac:dyDescent="0.2">
      <c r="B95" s="9"/>
      <c r="C95" s="9"/>
      <c r="D95" s="9"/>
      <c r="E95" s="9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</row>
    <row r="96" spans="2:72" x14ac:dyDescent="0.2">
      <c r="B96" s="9"/>
      <c r="C96" s="9"/>
      <c r="D96" s="9"/>
      <c r="E96" s="9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</row>
    <row r="97" spans="2:72" x14ac:dyDescent="0.2">
      <c r="B97" s="9"/>
      <c r="C97" s="9"/>
      <c r="D97" s="9"/>
      <c r="E97" s="9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</row>
    <row r="98" spans="2:72" x14ac:dyDescent="0.2">
      <c r="B98" s="9"/>
      <c r="C98" s="9"/>
      <c r="D98" s="9"/>
      <c r="E98" s="9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</row>
    <row r="99" spans="2:72" x14ac:dyDescent="0.2">
      <c r="B99" s="9"/>
      <c r="C99" s="9"/>
      <c r="D99" s="9"/>
      <c r="E99" s="9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</row>
    <row r="100" spans="2:72" x14ac:dyDescent="0.2">
      <c r="B100" s="9"/>
      <c r="C100" s="9"/>
      <c r="D100" s="9"/>
      <c r="E100" s="9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</row>
    <row r="101" spans="2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</row>
    <row r="102" spans="2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2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2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2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2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2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2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2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2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2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2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3">
    <mergeCell ref="U3:Y3"/>
    <mergeCell ref="F3:K3"/>
    <mergeCell ref="M3:N3"/>
    <mergeCell ref="P3:T3"/>
    <mergeCell ref="A3:E3"/>
    <mergeCell ref="BN3:BP3"/>
    <mergeCell ref="AA3:AC3"/>
    <mergeCell ref="AD3:AQ3"/>
    <mergeCell ref="AS3:AV3"/>
    <mergeCell ref="AW3:BA3"/>
    <mergeCell ref="BB3:BC3"/>
    <mergeCell ref="BD3:BE3"/>
    <mergeCell ref="BF3:BM3"/>
  </mergeCells>
  <phoneticPr fontId="7" type="noConversion"/>
  <conditionalFormatting sqref="O6:O15">
    <cfRule type="expression" dxfId="47" priority="43">
      <formula>$L6="Yes"</formula>
    </cfRule>
  </conditionalFormatting>
  <conditionalFormatting sqref="A6:A30">
    <cfRule type="containsBlanks" dxfId="46" priority="42">
      <formula>LEN(TRIM(A6))=0</formula>
    </cfRule>
  </conditionalFormatting>
  <conditionalFormatting sqref="M6:M30">
    <cfRule type="expression" dxfId="45" priority="41">
      <formula>$L6="Yes"</formula>
    </cfRule>
  </conditionalFormatting>
  <conditionalFormatting sqref="U6:V30 X6:Y30">
    <cfRule type="expression" dxfId="44" priority="40">
      <formula>$T6="Single Cell Suspension"</formula>
    </cfRule>
  </conditionalFormatting>
  <conditionalFormatting sqref="Z6:AF15">
    <cfRule type="expression" dxfId="43" priority="47">
      <formula>$Y6="Unsorted Single Cell Sequencing"</formula>
    </cfRule>
  </conditionalFormatting>
  <conditionalFormatting sqref="AD6:AF15">
    <cfRule type="expression" dxfId="42" priority="46">
      <formula>$Y6="Unsorted Single Cell Sequencing"</formula>
    </cfRule>
  </conditionalFormatting>
  <conditionalFormatting sqref="Z6:BP15 BG6:BG15 BH6:BP15 Z6:BF15 AS6:AV15">
    <cfRule type="expression" dxfId="41" priority="48">
      <formula>$Y6="Storage Only"</formula>
    </cfRule>
  </conditionalFormatting>
  <conditionalFormatting sqref="BD6:BF30">
    <cfRule type="expression" dxfId="40" priority="31">
      <formula>$BA6="No"</formula>
    </cfRule>
  </conditionalFormatting>
  <conditionalFormatting sqref="AI6:AQ30">
    <cfRule type="notContainsBlanks" dxfId="39" priority="17">
      <formula>LEN(TRIM(AI6))&gt;0</formula>
    </cfRule>
  </conditionalFormatting>
  <conditionalFormatting sqref="X6:Y30">
    <cfRule type="notContainsBlanks" dxfId="38" priority="13">
      <formula>LEN(TRIM(X6))&gt;0</formula>
    </cfRule>
  </conditionalFormatting>
  <conditionalFormatting sqref="AS6:AV6">
    <cfRule type="notContainsBlanks" dxfId="37" priority="67">
      <formula>LEN(TRIM(AS6))&gt;0</formula>
    </cfRule>
    <cfRule type="expression" dxfId="36" priority="68">
      <formula>#REF!="Frozen Tissue"</formula>
    </cfRule>
    <cfRule type="expression" dxfId="35" priority="69">
      <formula>#REF!="FFPE Block"</formula>
    </cfRule>
    <cfRule type="expression" dxfId="34" priority="70">
      <formula>#REF!="Single Cell Suspension"</formula>
    </cfRule>
  </conditionalFormatting>
  <conditionalFormatting sqref="U6:Y7">
    <cfRule type="expression" dxfId="33" priority="76">
      <formula>#REF!="FFPE Block"</formula>
    </cfRule>
  </conditionalFormatting>
  <conditionalFormatting sqref="AS6:AV30">
    <cfRule type="notContainsBlanks" dxfId="32" priority="8">
      <formula>LEN(TRIM(AS6))&gt;0</formula>
    </cfRule>
    <cfRule type="expression" dxfId="31" priority="23">
      <formula>$T6="Frozen Tissue"</formula>
    </cfRule>
    <cfRule type="expression" dxfId="30" priority="32">
      <formula>$T6="FFPE Block"</formula>
    </cfRule>
  </conditionalFormatting>
  <conditionalFormatting sqref="U6:V30">
    <cfRule type="notContainsBlanks" dxfId="29" priority="9">
      <formula>LEN(TRIM(U6))&gt;0</formula>
    </cfRule>
  </conditionalFormatting>
  <conditionalFormatting sqref="U6:V7">
    <cfRule type="notContainsBlanks" dxfId="28" priority="77">
      <formula>LEN(TRIM(U6))&gt;0</formula>
    </cfRule>
    <cfRule type="expression" dxfId="27" priority="78">
      <formula>$T6="Single Cell Suspension"</formula>
    </cfRule>
  </conditionalFormatting>
  <conditionalFormatting sqref="AS7:AV7">
    <cfRule type="notContainsBlanks" dxfId="26" priority="80">
      <formula>LEN(TRIM(AS7))&gt;0</formula>
    </cfRule>
    <cfRule type="expression" dxfId="25" priority="81">
      <formula>$T7="Frozen Tissue"</formula>
    </cfRule>
    <cfRule type="expression" dxfId="24" priority="82">
      <formula>$T7="FFPE Block"</formula>
    </cfRule>
    <cfRule type="expression" dxfId="23" priority="83">
      <formula>$T7="Single Cell Suspension"</formula>
    </cfRule>
  </conditionalFormatting>
  <conditionalFormatting sqref="AW6:BM30">
    <cfRule type="expression" dxfId="22" priority="29">
      <formula>$AV6="IF"</formula>
    </cfRule>
  </conditionalFormatting>
  <conditionalFormatting sqref="BB6:BC30">
    <cfRule type="expression" dxfId="21" priority="28">
      <formula>$BA6="No"</formula>
    </cfRule>
  </conditionalFormatting>
  <conditionalFormatting sqref="AW6:BP15">
    <cfRule type="expression" dxfId="20" priority="49">
      <formula>$AV6="Storage Only"</formula>
    </cfRule>
  </conditionalFormatting>
  <conditionalFormatting sqref="BB6:BF30">
    <cfRule type="notContainsBlanks" dxfId="19" priority="1">
      <formula>LEN(TRIM(BB6))&gt;0</formula>
    </cfRule>
    <cfRule type="expression" dxfId="18" priority="27">
      <formula>$BA6="Yes"</formula>
    </cfRule>
  </conditionalFormatting>
  <conditionalFormatting sqref="BN6:BP30">
    <cfRule type="notContainsBlanks" dxfId="17" priority="2">
      <formula>LEN(TRIM(BN6))&gt;0</formula>
    </cfRule>
    <cfRule type="expression" dxfId="16" priority="5">
      <formula>$AV6="IF"</formula>
    </cfRule>
    <cfRule type="expression" dxfId="15" priority="20">
      <formula>$AV6="WGS Bulk"</formula>
    </cfRule>
  </conditionalFormatting>
  <conditionalFormatting sqref="AW6:BA30">
    <cfRule type="notContainsBlanks" dxfId="14" priority="4">
      <formula>LEN(TRIM(AW6))&gt;0</formula>
    </cfRule>
    <cfRule type="expression" dxfId="13" priority="30">
      <formula>$AV6="WGS Bulk"</formula>
    </cfRule>
  </conditionalFormatting>
  <conditionalFormatting sqref="AP6:AQ3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U6:AF30">
    <cfRule type="expression" dxfId="10" priority="10">
      <formula>$T6="Frozen Tissue"</formula>
    </cfRule>
    <cfRule type="expression" dxfId="9" priority="14">
      <formula>$T6="FFPE Block"</formula>
    </cfRule>
  </conditionalFormatting>
  <conditionalFormatting sqref="O6:O30">
    <cfRule type="expression" dxfId="8" priority="11">
      <formula>$L6="No"</formula>
    </cfRule>
  </conditionalFormatting>
  <conditionalFormatting sqref="AI6:AN30">
    <cfRule type="expression" dxfId="7" priority="18">
      <formula>$Y6="Sorted Single Cell Sequencing"</formula>
    </cfRule>
    <cfRule type="expression" dxfId="6" priority="19">
      <formula>$Y6="Unsorted Single Cell Sequencing"</formula>
    </cfRule>
  </conditionalFormatting>
  <conditionalFormatting sqref="BH6:BM30">
    <cfRule type="notContainsBlanks" dxfId="5" priority="22">
      <formula>LEN(TRIM(BH6))&gt;0</formula>
    </cfRule>
    <cfRule type="expression" dxfId="4" priority="24">
      <formula>$BA6="Yes"</formula>
    </cfRule>
    <cfRule type="expression" dxfId="3" priority="26">
      <formula>$BA6="No"</formula>
    </cfRule>
  </conditionalFormatting>
  <conditionalFormatting sqref="Z6:AF30">
    <cfRule type="notContainsBlanks" dxfId="2" priority="34">
      <formula>LEN(TRIM(Z6))&gt;0</formula>
    </cfRule>
    <cfRule type="expression" dxfId="1" priority="35">
      <formula>$Y6="Sorted Single Cell Sequencing"</formula>
    </cfRule>
  </conditionalFormatting>
  <conditionalFormatting sqref="AS6:BP30">
    <cfRule type="expression" dxfId="0" priority="33">
      <formula>$T6="Single Cell Suspension"</formula>
    </cfRule>
  </conditionalFormatting>
  <dataValidations count="2">
    <dataValidation allowBlank="1" showInputMessage="1" sqref="AG1:AG4 AG154:AG1048576" xr:uid="{00000000-0002-0000-0000-000000000000}"/>
    <dataValidation showInputMessage="1" showErrorMessage="1" sqref="E6:E15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AL5:AL15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AV5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AY5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BA5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BP5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AG6:AG15</xm:sqref>
        </x14:dataValidation>
        <x14:dataValidation type="list" allowBlank="1" showInputMessage="1" showErrorMessage="1" xr:uid="{00000000-0002-0000-0000-000025000000}">
          <x14:formula1>
            <xm:f>Validations!$W$3:$W$6</xm:f>
          </x14:formula1>
          <xm:sqref>AV6:AV15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AY6:AY15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BA6:BA15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BP6:BP15</xm:sqref>
        </x14:dataValidation>
        <x14:dataValidation type="list" allowBlank="1" showInputMessage="1" showErrorMessage="1" xr:uid="{00000000-0002-0000-0000-000029000000}">
          <x14:formula1>
            <xm:f>Validations!$L$3:$L$6</xm:f>
          </x14:formula1>
          <xm:sqref>Y6:Y15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Z6:Z15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2"/>
  <sheetViews>
    <sheetView workbookViewId="0">
      <selection activeCell="C106" sqref="C10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217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243</v>
      </c>
    </row>
    <row r="3" spans="1:23" x14ac:dyDescent="0.2">
      <c r="B3" s="1" t="s">
        <v>60</v>
      </c>
      <c r="C3" s="1" t="s">
        <v>161</v>
      </c>
      <c r="D3" s="1" t="s">
        <v>162</v>
      </c>
      <c r="E3" s="1" t="s">
        <v>171</v>
      </c>
      <c r="F3" s="1">
        <v>1</v>
      </c>
      <c r="G3" s="1" t="s">
        <v>173</v>
      </c>
      <c r="H3" s="1" t="s">
        <v>175</v>
      </c>
      <c r="I3" s="1" t="s">
        <v>184</v>
      </c>
      <c r="J3" s="1" t="s">
        <v>185</v>
      </c>
      <c r="K3" s="1" t="s">
        <v>192</v>
      </c>
      <c r="L3" s="1" t="s">
        <v>195</v>
      </c>
      <c r="M3" s="1" t="s">
        <v>198</v>
      </c>
      <c r="N3" s="1" t="s">
        <v>200</v>
      </c>
      <c r="O3" s="1" t="s">
        <v>204</v>
      </c>
      <c r="P3" s="1" t="s">
        <v>207</v>
      </c>
      <c r="Q3" s="1" t="s">
        <v>219</v>
      </c>
      <c r="R3" s="1" t="s">
        <v>212</v>
      </c>
      <c r="S3" s="1" t="s">
        <v>213</v>
      </c>
      <c r="T3" s="1" t="s">
        <v>174</v>
      </c>
      <c r="U3" s="1" t="s">
        <v>174</v>
      </c>
      <c r="V3" s="1" t="s">
        <v>210</v>
      </c>
      <c r="W3" s="1" t="s">
        <v>244</v>
      </c>
    </row>
    <row r="4" spans="1:23" x14ac:dyDescent="0.2">
      <c r="B4" s="1" t="s">
        <v>61</v>
      </c>
      <c r="C4" s="1" t="s">
        <v>248</v>
      </c>
      <c r="D4" s="1" t="s">
        <v>163</v>
      </c>
      <c r="E4" s="1" t="s">
        <v>172</v>
      </c>
      <c r="F4" s="1">
        <v>2</v>
      </c>
      <c r="G4" s="1" t="s">
        <v>174</v>
      </c>
      <c r="H4" s="1" t="s">
        <v>181</v>
      </c>
      <c r="I4" s="1" t="s">
        <v>185</v>
      </c>
      <c r="J4" s="1" t="s">
        <v>186</v>
      </c>
      <c r="K4" s="1" t="s">
        <v>193</v>
      </c>
      <c r="L4" s="1" t="s">
        <v>197</v>
      </c>
      <c r="M4" s="1" t="s">
        <v>199</v>
      </c>
      <c r="N4" s="1" t="s">
        <v>201</v>
      </c>
      <c r="O4" s="1" t="s">
        <v>205</v>
      </c>
      <c r="P4" s="1" t="s">
        <v>208</v>
      </c>
      <c r="Q4" s="1" t="s">
        <v>218</v>
      </c>
      <c r="R4" s="1" t="str">
        <f>" "</f>
        <v xml:space="preserve"> </v>
      </c>
      <c r="S4" s="1" t="s">
        <v>214</v>
      </c>
      <c r="T4" s="1" t="s">
        <v>173</v>
      </c>
      <c r="U4" s="1" t="s">
        <v>173</v>
      </c>
      <c r="V4" s="1" t="s">
        <v>211</v>
      </c>
      <c r="W4" s="1" t="s">
        <v>196</v>
      </c>
    </row>
    <row r="5" spans="1:23" x14ac:dyDescent="0.2">
      <c r="B5" s="1" t="s">
        <v>62</v>
      </c>
      <c r="C5" s="1" t="s">
        <v>160</v>
      </c>
      <c r="D5" s="1" t="s">
        <v>164</v>
      </c>
      <c r="F5" s="1">
        <v>3</v>
      </c>
      <c r="H5" s="1" t="s">
        <v>176</v>
      </c>
      <c r="I5" s="1" t="s">
        <v>186</v>
      </c>
      <c r="J5" s="1" t="s">
        <v>187</v>
      </c>
      <c r="K5" s="1" t="s">
        <v>194</v>
      </c>
      <c r="L5" s="1" t="s">
        <v>196</v>
      </c>
      <c r="N5" s="1" t="s">
        <v>202</v>
      </c>
      <c r="O5" s="1" t="s">
        <v>206</v>
      </c>
      <c r="P5" s="1" t="s">
        <v>209</v>
      </c>
      <c r="S5" s="1" t="s">
        <v>215</v>
      </c>
      <c r="V5" s="1" t="s">
        <v>220</v>
      </c>
      <c r="W5" s="1" t="s">
        <v>245</v>
      </c>
    </row>
    <row r="6" spans="1:23" x14ac:dyDescent="0.2">
      <c r="B6" s="1" t="s">
        <v>63</v>
      </c>
      <c r="D6" s="1" t="s">
        <v>165</v>
      </c>
      <c r="F6" s="1">
        <v>4</v>
      </c>
      <c r="H6" s="1" t="s">
        <v>177</v>
      </c>
      <c r="I6" s="1" t="s">
        <v>187</v>
      </c>
      <c r="J6" s="1" t="s">
        <v>188</v>
      </c>
      <c r="N6" s="1" t="s">
        <v>203</v>
      </c>
      <c r="S6" s="1" t="s">
        <v>216</v>
      </c>
    </row>
    <row r="7" spans="1:23" x14ac:dyDescent="0.2">
      <c r="B7" s="1" t="s">
        <v>64</v>
      </c>
      <c r="D7" s="1" t="s">
        <v>166</v>
      </c>
      <c r="F7" s="1">
        <v>5</v>
      </c>
      <c r="H7" s="1" t="s">
        <v>178</v>
      </c>
      <c r="I7" s="1" t="s">
        <v>188</v>
      </c>
      <c r="J7" s="1" t="s">
        <v>182</v>
      </c>
    </row>
    <row r="8" spans="1:23" x14ac:dyDescent="0.2">
      <c r="B8" s="1" t="s">
        <v>65</v>
      </c>
      <c r="D8" s="1" t="s">
        <v>167</v>
      </c>
      <c r="F8" s="1">
        <v>6</v>
      </c>
      <c r="H8" s="1" t="s">
        <v>179</v>
      </c>
      <c r="I8" s="1" t="s">
        <v>182</v>
      </c>
      <c r="J8" s="1" t="s">
        <v>189</v>
      </c>
    </row>
    <row r="9" spans="1:23" x14ac:dyDescent="0.2">
      <c r="B9" s="1" t="s">
        <v>66</v>
      </c>
      <c r="D9" s="1" t="s">
        <v>168</v>
      </c>
      <c r="F9" s="1">
        <v>7</v>
      </c>
      <c r="H9" s="1" t="s">
        <v>180</v>
      </c>
      <c r="I9" s="1" t="s">
        <v>189</v>
      </c>
      <c r="J9" s="1" t="s">
        <v>190</v>
      </c>
    </row>
    <row r="10" spans="1:23" x14ac:dyDescent="0.2">
      <c r="B10" s="1" t="s">
        <v>67</v>
      </c>
      <c r="D10" s="1" t="s">
        <v>169</v>
      </c>
      <c r="F10" s="1">
        <v>8</v>
      </c>
      <c r="H10" s="1" t="s">
        <v>182</v>
      </c>
      <c r="I10" s="1" t="s">
        <v>190</v>
      </c>
      <c r="J10" s="1" t="s">
        <v>191</v>
      </c>
    </row>
    <row r="11" spans="1:23" x14ac:dyDescent="0.2">
      <c r="B11" s="1" t="s">
        <v>68</v>
      </c>
      <c r="D11" s="1" t="s">
        <v>170</v>
      </c>
      <c r="F11" s="1">
        <v>9</v>
      </c>
      <c r="H11" s="1" t="s">
        <v>183</v>
      </c>
      <c r="I11" s="1" t="s">
        <v>191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2019-10-29T18:23:06Z</dcterms:modified>
</cp:coreProperties>
</file>