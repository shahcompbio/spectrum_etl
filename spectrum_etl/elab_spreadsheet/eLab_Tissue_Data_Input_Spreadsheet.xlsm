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CD349EDE-9BA4-BA4B-9EAF-1EA1FD6DF131}" xr6:coauthVersionLast="36" xr6:coauthVersionMax="36" xr10:uidLastSave="{00000000-0000-0000-0000-000000000000}"/>
  <workbookProtection lockStructure="1"/>
  <bookViews>
    <workbookView xWindow="0" yWindow="460" windowWidth="38400" windowHeight="22240" xr2:uid="{00000000-000D-0000-FFFF-FFFF00000000}"/>
  </bookViews>
  <sheets>
    <sheet name="Main Database" sheetId="1" r:id="rId1"/>
    <sheet name="Validations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" i="1" l="1"/>
  <c r="W7" i="1"/>
  <c r="W8" i="1"/>
  <c r="W9" i="1"/>
  <c r="W10" i="1"/>
  <c r="W11" i="1"/>
  <c r="W12" i="1"/>
  <c r="W13" i="1"/>
  <c r="W14" i="1"/>
  <c r="W15" i="1"/>
  <c r="W6" i="1"/>
  <c r="AG15" i="1"/>
  <c r="AG14" i="1"/>
  <c r="AG13" i="1"/>
  <c r="AG12" i="1"/>
  <c r="AG11" i="1"/>
  <c r="AG10" i="1"/>
  <c r="AG9" i="1"/>
  <c r="AG8" i="1"/>
  <c r="AG7" i="1"/>
  <c r="AG6" i="1"/>
  <c r="M5" i="1"/>
  <c r="W5" i="1"/>
  <c r="M15" i="1"/>
  <c r="M14" i="1"/>
  <c r="M13" i="1"/>
  <c r="L5" i="1"/>
  <c r="J15" i="1"/>
  <c r="J14" i="1"/>
  <c r="J13" i="1"/>
  <c r="J12" i="1"/>
  <c r="J11" i="1"/>
  <c r="J10" i="1"/>
  <c r="J9" i="1"/>
  <c r="J8" i="1"/>
  <c r="J7" i="1"/>
  <c r="J6" i="1"/>
  <c r="J5" i="1"/>
  <c r="R4" i="2"/>
  <c r="A7" i="1"/>
  <c r="A8" i="1"/>
  <c r="A9" i="1"/>
  <c r="A10" i="1"/>
  <c r="A11" i="1"/>
  <c r="A12" i="1"/>
  <c r="A13" i="1"/>
  <c r="A14" i="1"/>
  <c r="A15" i="1"/>
  <c r="A5" i="1"/>
</calcChain>
</file>

<file path=xl/sharedStrings.xml><?xml version="1.0" encoding="utf-8"?>
<sst xmlns="http://schemas.openxmlformats.org/spreadsheetml/2006/main" count="295" uniqueCount="249">
  <si>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</si>
  <si>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</si>
  <si>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</si>
  <si>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</si>
  <si>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</si>
  <si>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</si>
  <si>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</si>
  <si>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</si>
  <si>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</si>
  <si>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</si>
  <si>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</si>
  <si>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</si>
  <si>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</si>
  <si>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</si>
  <si>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</si>
  <si>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</si>
  <si>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</si>
  <si>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</si>
  <si>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</si>
  <si>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</si>
  <si>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</si>
  <si>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</si>
  <si>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</si>
  <si>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</si>
  <si>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</si>
  <si>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</si>
  <si>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</si>
  <si>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</si>
  <si>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</si>
  <si>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</si>
  <si>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cDNA QC File</t>
  </si>
  <si>
    <t>Library QC File</t>
  </si>
  <si>
    <t>Notes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</si>
  <si>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</si>
  <si>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</si>
  <si>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</si>
  <si>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</si>
  <si>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</si>
  <si>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</si>
  <si>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</si>
  <si>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</si>
  <si>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</si>
  <si>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</si>
  <si>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</si>
  <si>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</si>
  <si>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</si>
  <si>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</si>
  <si>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</si>
  <si>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</si>
  <si>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</si>
  <si>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</si>
  <si>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</si>
  <si>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</si>
  <si>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</si>
  <si>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</si>
  <si>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</si>
  <si>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</si>
  <si>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</si>
  <si>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</si>
  <si>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</si>
  <si>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</si>
  <si>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</si>
  <si>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</si>
  <si>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</si>
  <si>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</si>
  <si>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</si>
  <si>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</si>
  <si>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</si>
  <si>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</si>
  <si>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</si>
  <si>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</si>
  <si>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</si>
  <si>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</si>
  <si>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</si>
  <si>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</si>
  <si>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</si>
  <si>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</si>
  <si>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</si>
  <si>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</si>
  <si>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</si>
  <si>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</si>
  <si>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</si>
  <si>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</si>
  <si>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</si>
  <si>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</si>
  <si>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</si>
  <si>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</si>
  <si>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</si>
  <si>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</si>
  <si>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</si>
  <si>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</si>
  <si>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</si>
  <si>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</si>
  <si>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</si>
  <si>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</si>
  <si>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</si>
  <si>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</si>
  <si>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</si>
  <si>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</si>
  <si>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</si>
  <si>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</si>
  <si>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</si>
  <si>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</si>
  <si>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</si>
  <si>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</si>
  <si>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</si>
  <si>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</si>
  <si>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</si>
  <si>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</si>
  <si>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</si>
  <si>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</si>
  <si>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</si>
  <si>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</si>
  <si>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</si>
  <si>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</si>
  <si>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</si>
  <si>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</si>
  <si>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</si>
  <si>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</si>
  <si>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</si>
  <si>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</si>
  <si>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</si>
  <si>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</si>
  <si>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</si>
  <si>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</si>
  <si>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</si>
  <si>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</si>
  <si>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</si>
  <si>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</si>
  <si>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</si>
  <si>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</si>
  <si>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</si>
  <si>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</si>
  <si>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</si>
  <si>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</si>
  <si>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</si>
  <si>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</si>
  <si>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</si>
  <si>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</si>
  <si>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</si>
  <si>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</si>
  <si>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</si>
  <si>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</si>
  <si>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</si>
  <si>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</si>
  <si>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</si>
  <si>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</si>
  <si>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</si>
  <si>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</si>
  <si>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</si>
  <si>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</si>
  <si>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</si>
  <si>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</si>
  <si>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</si>
  <si>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</si>
  <si>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</si>
  <si>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</si>
  <si>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</si>
  <si>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</si>
  <si>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</si>
  <si>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</si>
  <si>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</si>
  <si>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Laparaoscopic Biopsy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</si>
  <si>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</si>
  <si>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</si>
  <si>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</si>
  <si>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</si>
  <si>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</si>
  <si>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</si>
  <si>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</si>
  <si>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</si>
  <si>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</si>
  <si>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</si>
  <si>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</si>
  <si>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</si>
  <si>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</si>
  <si>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</si>
  <si>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</si>
  <si>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</si>
  <si>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</si>
  <si>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</si>
  <si>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</si>
  <si>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</si>
  <si>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</si>
  <si>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</si>
  <si>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</si>
  <si>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</si>
  <si>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</si>
  <si>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</si>
  <si>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</si>
  <si>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</si>
  <si>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</si>
  <si>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</si>
  <si>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</si>
  <si>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</si>
  <si>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</si>
  <si>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</si>
  <si>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</si>
  <si>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</si>
  <si>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</si>
  <si>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</si>
  <si>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</si>
  <si>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</si>
  <si>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</si>
  <si>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</si>
  <si>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</si>
  <si>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</si>
  <si>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</si>
  <si>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</si>
  <si>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</si>
  <si>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</si>
  <si>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</si>
  <si>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</si>
  <si>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</si>
  <si>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</si>
  <si>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Failed Library QC</t>
  </si>
  <si>
    <t>Passed cDNA QC</t>
  </si>
  <si>
    <t>Passed Library QC</t>
  </si>
  <si>
    <t>Sequencing Location</t>
  </si>
  <si>
    <t>IGO</t>
  </si>
  <si>
    <t>BCCRC</t>
  </si>
  <si>
    <t>C</t>
  </si>
  <si>
    <t>Room</t>
  </si>
  <si>
    <t>Description</t>
  </si>
  <si>
    <t>Note</t>
  </si>
  <si>
    <t>scRNA Sequencing Info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</si>
  <si>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</si>
  <si>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</si>
  <si>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</si>
  <si>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</si>
  <si>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</si>
  <si>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</si>
  <si>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</si>
  <si>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</si>
  <si>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</si>
  <si>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</si>
  <si>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</si>
  <si>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</si>
  <si>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</si>
  <si>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</si>
  <si>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</si>
  <si>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</si>
  <si>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</si>
  <si>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</si>
  <si>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</si>
  <si>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</si>
  <si>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WGS Bulk</t>
  </si>
  <si>
    <t>MRN</t>
  </si>
  <si>
    <t> Surgery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</si>
</sst>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BT139"/>
  <sheetViews>
    <sheetView tabSelected="1" zoomScale="110" zoomScaleNormal="110" workbookViewId="0">
      <pane ySplit="4" topLeftCell="A6" activePane="bottomLeft" state="frozen"/>
      <selection activeCell="P1" sqref="P1"/>
      <selection pane="bottomLeft" activeCell="S10" sqref="S10"/>
    </sheetView>
  </sheetViews>
  <sheetFormatPr baseColWidth="10" defaultRowHeight="16" x14ac:dyDescent="0.2"/>
  <cols>
    <col min="1" max="1" width="23.5" style="2" customWidth="1"/>
    <col min="2" max="2" width="18" style="2" customWidth="1"/>
    <col min="3" max="3" width="14.1640625" style="2" customWidth="1"/>
    <col min="4" max="4" width="17.33203125" style="2" bestFit="1" customWidth="1"/>
    <col min="5" max="5" width="17.33203125" style="13" customWidth="1"/>
    <col min="6" max="6" width="8.83203125" style="2" bestFit="1" customWidth="1"/>
    <col min="7" max="7" width="12.83203125" style="2" bestFit="1" customWidth="1"/>
    <col min="8" max="8" width="12.83203125" style="13" customWidth="1"/>
    <col min="9" max="9" width="7.83203125" style="2" bestFit="1" customWidth="1"/>
    <col min="10" max="10" width="14.6640625" style="2" bestFit="1" customWidth="1"/>
    <col min="11" max="11" width="12.6640625" style="2" bestFit="1" customWidth="1"/>
    <col min="12" max="12" width="14.33203125" style="2" bestFit="1" customWidth="1"/>
    <col min="13" max="13" width="13.8320312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2.83203125" style="2" bestFit="1" customWidth="1"/>
    <col min="18" max="18" width="10.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customWidth="1"/>
    <col min="31" max="31" width="19.5" style="2" customWidth="1"/>
    <col min="32" max="32" width="22.83203125" style="2" customWidth="1"/>
    <col min="33" max="33" width="23.83203125" style="2" customWidth="1"/>
    <col min="34" max="34" width="16.6640625" style="2" customWidth="1"/>
    <col min="35" max="35" width="12.5" style="2" customWidth="1"/>
    <col min="36" max="36" width="22.6640625" style="2" customWidth="1"/>
    <col min="37" max="37" width="19.5" style="2" customWidth="1"/>
    <col min="38" max="38" width="19" style="2" customWidth="1"/>
    <col min="39" max="40" width="25.33203125" style="2" customWidth="1"/>
    <col min="41" max="41" width="9.6640625" style="2" customWidth="1"/>
    <col min="42" max="42" width="12.1640625" style="2" customWidth="1"/>
    <col min="43" max="43" width="13.1640625" style="2" customWidth="1"/>
    <col min="44" max="44" width="6" style="2" customWidth="1"/>
    <col min="45" max="45" width="17.1640625" style="2" hidden="1" customWidth="1"/>
    <col min="46" max="46" width="19" style="2" hidden="1" customWidth="1"/>
    <col min="47" max="47" width="15.33203125" style="2" hidden="1" customWidth="1"/>
    <col min="48" max="48" width="26.83203125" style="2" hidden="1" customWidth="1"/>
    <col min="49" max="49" width="23.1640625" style="2" hidden="1" customWidth="1"/>
    <col min="50" max="50" width="21.83203125" style="2" hidden="1" customWidth="1"/>
    <col min="51" max="51" width="14" style="2" hidden="1" customWidth="1"/>
    <col min="52" max="52" width="17.83203125" style="2" hidden="1" customWidth="1"/>
    <col min="53" max="53" width="14.5" style="2" hidden="1" customWidth="1"/>
    <col min="54" max="54" width="27" style="2" customWidth="1"/>
    <col min="55" max="55" width="21.1640625" style="2" customWidth="1"/>
    <col min="56" max="56" width="18.83203125" style="2" customWidth="1"/>
    <col min="57" max="57" width="10.83203125" style="2" customWidth="1"/>
    <col min="58" max="58" width="22.1640625" style="2" customWidth="1"/>
    <col min="59" max="59" width="22.83203125" style="2" customWidth="1"/>
    <col min="60" max="60" width="10.83203125" style="2" customWidth="1"/>
    <col min="61" max="61" width="21.5" style="2" customWidth="1"/>
    <col min="62" max="62" width="18.33203125" style="2" customWidth="1"/>
    <col min="63" max="63" width="17.83203125" style="2" customWidth="1"/>
    <col min="64" max="65" width="24.1640625" style="2" customWidth="1"/>
    <col min="66" max="66" width="22.1640625" style="2" hidden="1" customWidth="1"/>
    <col min="67" max="67" width="16.6640625" style="2" hidden="1" customWidth="1"/>
    <col min="68" max="68" width="7.6640625" style="2" hidden="1" customWidth="1"/>
    <col min="69" max="16384" width="10.83203125" style="2"/>
  </cols>
  <sheetData>
    <row r="3" spans="1:72" s="6" customFormat="1" x14ac:dyDescent="0.2">
      <c r="A3" s="15" t="s">
        <v>47</v>
      </c>
      <c r="B3" s="15"/>
      <c r="C3" s="15"/>
      <c r="D3" s="15"/>
      <c r="E3" s="12"/>
      <c r="F3" s="15" t="s">
        <v>48</v>
      </c>
      <c r="G3" s="15"/>
      <c r="H3" s="15"/>
      <c r="I3" s="15"/>
      <c r="J3" s="15"/>
      <c r="K3" s="15"/>
      <c r="L3" s="7" t="s">
        <v>49</v>
      </c>
      <c r="M3" s="15" t="s">
        <v>50</v>
      </c>
      <c r="N3" s="15"/>
      <c r="O3" s="8"/>
      <c r="P3" s="15" t="s">
        <v>51</v>
      </c>
      <c r="Q3" s="15"/>
      <c r="R3" s="15"/>
      <c r="S3" s="15"/>
      <c r="T3" s="15"/>
      <c r="U3" s="15" t="s">
        <v>52</v>
      </c>
      <c r="V3" s="15"/>
      <c r="W3" s="15"/>
      <c r="X3" s="15"/>
      <c r="Y3" s="15"/>
      <c r="Z3" s="6" t="s">
        <v>53</v>
      </c>
      <c r="AA3" s="15" t="s">
        <v>54</v>
      </c>
      <c r="AB3" s="15"/>
      <c r="AC3" s="15"/>
      <c r="AD3" s="15" t="s">
        <v>225</v>
      </c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S3" s="15" t="s">
        <v>55</v>
      </c>
      <c r="AT3" s="15"/>
      <c r="AU3" s="15"/>
      <c r="AV3" s="15"/>
      <c r="AW3" s="15" t="s">
        <v>56</v>
      </c>
      <c r="AX3" s="15"/>
      <c r="AY3" s="15"/>
      <c r="AZ3" s="15"/>
      <c r="BA3" s="15"/>
      <c r="BB3" s="15" t="s">
        <v>57</v>
      </c>
      <c r="BC3" s="15"/>
      <c r="BD3" s="15" t="s">
        <v>58</v>
      </c>
      <c r="BE3" s="15"/>
      <c r="BF3" s="15" t="s">
        <v>226</v>
      </c>
      <c r="BG3" s="16"/>
      <c r="BH3" s="16"/>
      <c r="BI3" s="16"/>
      <c r="BJ3" s="16"/>
      <c r="BK3" s="16"/>
      <c r="BL3" s="16"/>
      <c r="BM3" s="16"/>
      <c r="BN3" s="15" t="s">
        <v>59</v>
      </c>
      <c r="BO3" s="15"/>
      <c r="BP3" s="15"/>
    </row>
    <row r="4" spans="1:72" s="5" customFormat="1" x14ac:dyDescent="0.2">
      <c r="A4" s="5" t="s">
        <v>1</v>
      </c>
      <c r="B4" s="5" t="s">
        <v>223</v>
      </c>
      <c r="C4" s="5" t="s">
        <v>224</v>
      </c>
      <c r="D4" s="5" t="s">
        <v>0</v>
      </c>
      <c r="E4" s="5" t="s">
        <v>247</v>
      </c>
      <c r="F4" s="5" t="s">
        <v>2</v>
      </c>
      <c r="G4" s="5" t="s">
        <v>3</v>
      </c>
      <c r="H4" s="5" t="s">
        <v>248</v>
      </c>
      <c r="I4" s="5" t="s">
        <v>4</v>
      </c>
      <c r="J4" s="5" t="s">
        <v>5</v>
      </c>
      <c r="K4" s="5" t="s">
        <v>222</v>
      </c>
      <c r="L4" s="5" t="s">
        <v>7</v>
      </c>
      <c r="M4" s="5" t="s">
        <v>8</v>
      </c>
      <c r="N4" s="5" t="s">
        <v>9</v>
      </c>
      <c r="O4" s="5" t="s">
        <v>10</v>
      </c>
      <c r="P4" s="5" t="s">
        <v>11</v>
      </c>
      <c r="Q4" s="5" t="s">
        <v>12</v>
      </c>
      <c r="R4" s="5" t="s">
        <v>13</v>
      </c>
      <c r="S4" s="5" t="s">
        <v>14</v>
      </c>
      <c r="T4" s="5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242</v>
      </c>
      <c r="AG4" s="5" t="s">
        <v>241</v>
      </c>
      <c r="AH4" s="5" t="s">
        <v>27</v>
      </c>
      <c r="AI4" s="5" t="s">
        <v>240</v>
      </c>
      <c r="AJ4" s="5" t="s">
        <v>239</v>
      </c>
      <c r="AK4" s="5" t="s">
        <v>238</v>
      </c>
      <c r="AL4" s="5" t="s">
        <v>237</v>
      </c>
      <c r="AM4" s="5" t="s">
        <v>236</v>
      </c>
      <c r="AN4" s="5" t="s">
        <v>235</v>
      </c>
      <c r="AO4" s="5" t="s">
        <v>29</v>
      </c>
      <c r="AP4" s="5" t="s">
        <v>30</v>
      </c>
      <c r="AQ4" s="5" t="s">
        <v>31</v>
      </c>
      <c r="AR4" s="5" t="s">
        <v>32</v>
      </c>
      <c r="AS4" s="5" t="s">
        <v>33</v>
      </c>
      <c r="AT4" s="5" t="s">
        <v>34</v>
      </c>
      <c r="AU4" s="5" t="s">
        <v>35</v>
      </c>
      <c r="AV4" s="5" t="s">
        <v>244</v>
      </c>
      <c r="AW4" s="5" t="s">
        <v>36</v>
      </c>
      <c r="AX4" s="5" t="s">
        <v>37</v>
      </c>
      <c r="AY4" s="5" t="s">
        <v>38</v>
      </c>
      <c r="AZ4" s="5" t="s">
        <v>39</v>
      </c>
      <c r="BA4" s="5" t="s">
        <v>40</v>
      </c>
      <c r="BB4" s="5" t="s">
        <v>41</v>
      </c>
      <c r="BC4" s="5" t="s">
        <v>42</v>
      </c>
      <c r="BD4" s="5" t="s">
        <v>43</v>
      </c>
      <c r="BE4" s="5" t="s">
        <v>44</v>
      </c>
      <c r="BF4" s="5" t="s">
        <v>227</v>
      </c>
      <c r="BG4" s="5" t="s">
        <v>234</v>
      </c>
      <c r="BH4" s="5" t="s">
        <v>233</v>
      </c>
      <c r="BI4" s="5" t="s">
        <v>232</v>
      </c>
      <c r="BJ4" s="5" t="s">
        <v>231</v>
      </c>
      <c r="BK4" s="5" t="s">
        <v>230</v>
      </c>
      <c r="BL4" s="5" t="s">
        <v>229</v>
      </c>
      <c r="BM4" s="5" t="s">
        <v>228</v>
      </c>
      <c r="BN4" s="5" t="s">
        <v>243</v>
      </c>
      <c r="BO4" s="5" t="s">
        <v>45</v>
      </c>
      <c r="BP4" s="5" t="s">
        <v>46</v>
      </c>
    </row>
    <row r="5" spans="1:72" hidden="1" x14ac:dyDescent="0.2">
      <c r="A5" s="4" t="str">
        <f>D5</f>
        <v>SPECTRUM-OV-001</v>
      </c>
      <c r="B5" s="4"/>
      <c r="C5" s="4"/>
      <c r="D5" s="2" t="s">
        <v>60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219</v>
      </c>
    </row>
    <row r="6" spans="1:72" x14ac:dyDescent="0.2">
      <c r="A6" s="4" t="str">
        <f>D6</f>
        <v>SPECTRUM-OV-001</v>
      </c>
      <c r="B6" s="4"/>
      <c r="C6" s="4"/>
      <c r="D6" s="2" t="s">
        <v>60</v>
      </c>
      <c r="F6" s="2">
        <v>0</v>
      </c>
      <c r="H6" s="14"/>
      <c r="J6" s="2" t="str">
        <f t="shared" ref="J6:J15" si="0">IF($A$1="", "Main", "")</f>
        <v>Main</v>
      </c>
      <c r="M6" s="2" t="s">
        <v>178</v>
      </c>
      <c r="N6" s="9"/>
      <c r="O6" s="9"/>
      <c r="U6" s="9"/>
      <c r="V6" s="9"/>
      <c r="W6" s="9" t="str">
        <f>IF($T6="Single Cell Suspension", "15", "")</f>
        <v/>
      </c>
      <c r="X6" s="9"/>
      <c r="Y6" s="9" t="s">
        <v>196</v>
      </c>
      <c r="Z6" s="9"/>
      <c r="AA6" s="9"/>
      <c r="AB6" s="9"/>
      <c r="AC6" s="9"/>
      <c r="AD6" s="9"/>
      <c r="AE6" s="9"/>
      <c r="AF6" s="9"/>
      <c r="AG6" s="9" t="str">
        <f t="shared" ref="AG6:AG15" si="1">IF($A$1="", "IGO")</f>
        <v>IGO</v>
      </c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 t="s">
        <v>174</v>
      </c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</row>
    <row r="7" spans="1:72" x14ac:dyDescent="0.2">
      <c r="A7" s="4">
        <f t="shared" ref="A7:A15" si="2">D7</f>
        <v>0</v>
      </c>
      <c r="B7" s="4"/>
      <c r="C7" s="4"/>
      <c r="H7" s="14"/>
      <c r="J7" s="2" t="str">
        <f t="shared" si="0"/>
        <v>Main</v>
      </c>
      <c r="M7" s="2" t="s">
        <v>178</v>
      </c>
      <c r="N7" s="9"/>
      <c r="O7" s="9"/>
      <c r="U7" s="9"/>
      <c r="V7" s="9"/>
      <c r="W7" s="9" t="str">
        <f t="shared" ref="W7:W15" si="3">IF($T7="Single Cell Suspension", "15", "")</f>
        <v/>
      </c>
      <c r="X7" s="9"/>
      <c r="Y7" s="9"/>
      <c r="Z7" s="9"/>
      <c r="AA7" s="9"/>
      <c r="AB7" s="9"/>
      <c r="AC7" s="9"/>
      <c r="AD7" s="9"/>
      <c r="AE7" s="9"/>
      <c r="AF7" s="9"/>
      <c r="AG7" s="9" t="str">
        <f t="shared" si="1"/>
        <v>IGO</v>
      </c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</row>
    <row r="8" spans="1:72" x14ac:dyDescent="0.2">
      <c r="A8" s="4">
        <f t="shared" si="2"/>
        <v>0</v>
      </c>
      <c r="B8" s="4"/>
      <c r="C8" s="4"/>
      <c r="H8" s="14"/>
      <c r="J8" s="2" t="str">
        <f t="shared" si="0"/>
        <v>Main</v>
      </c>
      <c r="M8" s="2" t="s">
        <v>178</v>
      </c>
      <c r="N8" s="9"/>
      <c r="O8" s="9"/>
      <c r="U8" s="9"/>
      <c r="V8" s="9"/>
      <c r="W8" s="9" t="str">
        <f t="shared" si="3"/>
        <v/>
      </c>
      <c r="X8" s="9"/>
      <c r="Y8" s="9"/>
      <c r="Z8" s="9"/>
      <c r="AA8" s="9"/>
      <c r="AB8" s="9"/>
      <c r="AC8" s="9"/>
      <c r="AD8" s="9"/>
      <c r="AE8" s="9"/>
      <c r="AF8" s="9"/>
      <c r="AG8" s="9" t="str">
        <f t="shared" si="1"/>
        <v>IGO</v>
      </c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</row>
    <row r="9" spans="1:72" x14ac:dyDescent="0.2">
      <c r="A9" s="4">
        <f t="shared" si="2"/>
        <v>0</v>
      </c>
      <c r="B9" s="4"/>
      <c r="C9" s="4"/>
      <c r="H9" s="14"/>
      <c r="J9" s="2" t="str">
        <f t="shared" si="0"/>
        <v>Main</v>
      </c>
      <c r="M9" s="2" t="s">
        <v>178</v>
      </c>
      <c r="N9" s="9"/>
      <c r="O9" s="9"/>
      <c r="U9" s="9"/>
      <c r="V9" s="9"/>
      <c r="W9" s="9" t="str">
        <f t="shared" si="3"/>
        <v/>
      </c>
      <c r="X9" s="9"/>
      <c r="Y9" s="9"/>
      <c r="Z9" s="9"/>
      <c r="AA9" s="9"/>
      <c r="AB9" s="9"/>
      <c r="AC9" s="9"/>
      <c r="AD9" s="9"/>
      <c r="AE9" s="9"/>
      <c r="AF9" s="9"/>
      <c r="AG9" s="9" t="str">
        <f t="shared" si="1"/>
        <v>IGO</v>
      </c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</row>
    <row r="10" spans="1:72" x14ac:dyDescent="0.2">
      <c r="A10" s="4">
        <f t="shared" si="2"/>
        <v>0</v>
      </c>
      <c r="B10" s="4"/>
      <c r="C10" s="4"/>
      <c r="H10" s="14"/>
      <c r="J10" s="2" t="str">
        <f t="shared" si="0"/>
        <v>Main</v>
      </c>
      <c r="M10" s="2" t="s">
        <v>178</v>
      </c>
      <c r="N10" s="9"/>
      <c r="O10" s="9"/>
      <c r="U10" s="9"/>
      <c r="V10" s="9"/>
      <c r="W10" s="9" t="str">
        <f t="shared" si="3"/>
        <v/>
      </c>
      <c r="X10" s="9"/>
      <c r="Y10" s="9"/>
      <c r="Z10" s="9"/>
      <c r="AA10" s="9"/>
      <c r="AB10" s="9"/>
      <c r="AC10" s="9"/>
      <c r="AD10" s="9"/>
      <c r="AE10" s="9"/>
      <c r="AF10" s="9"/>
      <c r="AG10" s="9" t="str">
        <f t="shared" si="1"/>
        <v>IGO</v>
      </c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</row>
    <row r="11" spans="1:72" x14ac:dyDescent="0.2">
      <c r="A11" s="4">
        <f t="shared" si="2"/>
        <v>0</v>
      </c>
      <c r="B11" s="4"/>
      <c r="C11" s="4"/>
      <c r="H11" s="14"/>
      <c r="J11" s="2" t="str">
        <f t="shared" si="0"/>
        <v>Main</v>
      </c>
      <c r="M11" s="2" t="s">
        <v>178</v>
      </c>
      <c r="N11" s="9"/>
      <c r="O11" s="9"/>
      <c r="U11" s="9"/>
      <c r="V11" s="9"/>
      <c r="W11" s="9" t="str">
        <f t="shared" si="3"/>
        <v/>
      </c>
      <c r="X11" s="9"/>
      <c r="Y11" s="9"/>
      <c r="Z11" s="9"/>
      <c r="AA11" s="9"/>
      <c r="AB11" s="9"/>
      <c r="AC11" s="9"/>
      <c r="AD11" s="9"/>
      <c r="AE11" s="9"/>
      <c r="AF11" s="9"/>
      <c r="AG11" s="9" t="str">
        <f t="shared" si="1"/>
        <v>IGO</v>
      </c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</row>
    <row r="12" spans="1:72" x14ac:dyDescent="0.2">
      <c r="A12" s="4">
        <f t="shared" si="2"/>
        <v>0</v>
      </c>
      <c r="B12" s="4"/>
      <c r="C12" s="4"/>
      <c r="H12" s="14"/>
      <c r="J12" s="2" t="str">
        <f t="shared" si="0"/>
        <v>Main</v>
      </c>
      <c r="M12" s="2" t="s">
        <v>178</v>
      </c>
      <c r="N12" s="9"/>
      <c r="O12" s="9"/>
      <c r="U12" s="9"/>
      <c r="V12" s="9"/>
      <c r="W12" s="9" t="str">
        <f t="shared" si="3"/>
        <v/>
      </c>
      <c r="X12" s="9"/>
      <c r="Y12" s="9"/>
      <c r="Z12" s="9"/>
      <c r="AA12" s="9"/>
      <c r="AB12" s="9"/>
      <c r="AC12" s="9"/>
      <c r="AD12" s="9"/>
      <c r="AE12" s="9"/>
      <c r="AF12" s="9"/>
      <c r="AG12" s="9" t="str">
        <f t="shared" si="1"/>
        <v>IGO</v>
      </c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</row>
    <row r="13" spans="1:72" x14ac:dyDescent="0.2">
      <c r="A13" s="4">
        <f t="shared" si="2"/>
        <v>0</v>
      </c>
      <c r="B13" s="4"/>
      <c r="C13" s="4"/>
      <c r="H13" s="14"/>
      <c r="J13" s="2" t="str">
        <f t="shared" si="0"/>
        <v>Main</v>
      </c>
      <c r="M13" s="2" t="str">
        <f t="shared" ref="M13:M15" si="4">IF($A$1="", "HGSC")</f>
        <v>HGSC</v>
      </c>
      <c r="N13" s="9"/>
      <c r="O13" s="9"/>
      <c r="U13" s="9"/>
      <c r="V13" s="9"/>
      <c r="W13" s="9" t="str">
        <f t="shared" si="3"/>
        <v/>
      </c>
      <c r="X13" s="9"/>
      <c r="Y13" s="9"/>
      <c r="Z13" s="9"/>
      <c r="AA13" s="9"/>
      <c r="AB13" s="9"/>
      <c r="AC13" s="9"/>
      <c r="AD13" s="9"/>
      <c r="AE13" s="9"/>
      <c r="AF13" s="9"/>
      <c r="AG13" s="9" t="str">
        <f t="shared" si="1"/>
        <v>IGO</v>
      </c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</row>
    <row r="14" spans="1:72" x14ac:dyDescent="0.2">
      <c r="A14" s="4">
        <f t="shared" si="2"/>
        <v>0</v>
      </c>
      <c r="B14" s="4"/>
      <c r="C14" s="4"/>
      <c r="H14" s="14"/>
      <c r="J14" s="2" t="str">
        <f t="shared" si="0"/>
        <v>Main</v>
      </c>
      <c r="M14" s="2" t="str">
        <f t="shared" si="4"/>
        <v>HGSC</v>
      </c>
      <c r="N14" s="9"/>
      <c r="O14" s="9"/>
      <c r="U14" s="9"/>
      <c r="V14" s="9"/>
      <c r="W14" s="9" t="str">
        <f t="shared" si="3"/>
        <v/>
      </c>
      <c r="X14" s="9"/>
      <c r="Y14" s="9"/>
      <c r="Z14" s="9"/>
      <c r="AA14" s="9"/>
      <c r="AB14" s="9"/>
      <c r="AC14" s="9"/>
      <c r="AD14" s="9"/>
      <c r="AE14" s="9"/>
      <c r="AF14" s="9"/>
      <c r="AG14" s="9" t="str">
        <f t="shared" si="1"/>
        <v>IGO</v>
      </c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</row>
    <row r="15" spans="1:72" x14ac:dyDescent="0.2">
      <c r="A15" s="4">
        <f t="shared" si="2"/>
        <v>0</v>
      </c>
      <c r="B15" s="4"/>
      <c r="C15" s="4"/>
      <c r="H15" s="14"/>
      <c r="J15" s="2" t="str">
        <f t="shared" si="0"/>
        <v>Main</v>
      </c>
      <c r="M15" s="2" t="str">
        <f t="shared" si="4"/>
        <v>HGSC</v>
      </c>
      <c r="N15" s="9"/>
      <c r="O15" s="9"/>
      <c r="U15" s="9"/>
      <c r="V15" s="9"/>
      <c r="W15" s="9" t="str">
        <f t="shared" si="3"/>
        <v/>
      </c>
      <c r="X15" s="9"/>
      <c r="Y15" s="9"/>
      <c r="Z15" s="9"/>
      <c r="AA15" s="9"/>
      <c r="AB15" s="9"/>
      <c r="AC15" s="9"/>
      <c r="AD15" s="9"/>
      <c r="AE15" s="9"/>
      <c r="AF15" s="9"/>
      <c r="AG15" s="9" t="str">
        <f t="shared" si="1"/>
        <v>IGO</v>
      </c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</row>
    <row r="16" spans="1:72" x14ac:dyDescent="0.2"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</row>
    <row r="17" spans="2:72" x14ac:dyDescent="0.2"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</row>
    <row r="18" spans="2:72" x14ac:dyDescent="0.2"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</row>
    <row r="19" spans="2:72" x14ac:dyDescent="0.2"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</row>
    <row r="20" spans="2:72" x14ac:dyDescent="0.2"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</row>
    <row r="21" spans="2:72" x14ac:dyDescent="0.2"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</row>
    <row r="22" spans="2:72" x14ac:dyDescent="0.2"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2:72" x14ac:dyDescent="0.2"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2:72" x14ac:dyDescent="0.2"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2:72" x14ac:dyDescent="0.2"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2:72" x14ac:dyDescent="0.2"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2:72" x14ac:dyDescent="0.2"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2:72" x14ac:dyDescent="0.2"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2:72" x14ac:dyDescent="0.2"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2:72" x14ac:dyDescent="0.2"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2:72" x14ac:dyDescent="0.2"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2:72" x14ac:dyDescent="0.2"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2:72" x14ac:dyDescent="0.2"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2:72" x14ac:dyDescent="0.2"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2:72" x14ac:dyDescent="0.2">
      <c r="B35" s="10"/>
      <c r="C35" s="10"/>
      <c r="D35" s="10"/>
      <c r="E35" s="10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2:72" x14ac:dyDescent="0.2">
      <c r="B36" s="10"/>
      <c r="C36" s="10"/>
      <c r="D36" s="10"/>
      <c r="E36" s="10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2:72" x14ac:dyDescent="0.2">
      <c r="B37" s="10"/>
      <c r="C37" s="10"/>
      <c r="D37" s="10"/>
      <c r="E37" s="10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2:72" x14ac:dyDescent="0.2">
      <c r="B38" s="10"/>
      <c r="C38" s="10"/>
      <c r="D38" s="10"/>
      <c r="E38" s="10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2:72" x14ac:dyDescent="0.2">
      <c r="B39" s="10"/>
      <c r="C39" s="10"/>
      <c r="D39" s="10"/>
      <c r="E39" s="10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</row>
    <row r="40" spans="2:72" x14ac:dyDescent="0.2">
      <c r="B40" s="10"/>
      <c r="C40" s="10"/>
      <c r="D40" s="10"/>
      <c r="E40" s="10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</row>
    <row r="41" spans="2:72" x14ac:dyDescent="0.2">
      <c r="B41" s="10"/>
      <c r="C41" s="10"/>
      <c r="D41" s="10"/>
      <c r="E41" s="10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</row>
    <row r="42" spans="2:72" x14ac:dyDescent="0.2">
      <c r="B42" s="10"/>
      <c r="C42" s="10"/>
      <c r="D42" s="10"/>
      <c r="E42" s="10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</row>
    <row r="43" spans="2:72" x14ac:dyDescent="0.2">
      <c r="B43" s="10"/>
      <c r="C43" s="10"/>
      <c r="D43" s="10"/>
      <c r="E43" s="10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</row>
    <row r="44" spans="2:72" x14ac:dyDescent="0.2">
      <c r="B44" s="10"/>
      <c r="C44" s="10"/>
      <c r="D44" s="10"/>
      <c r="E44" s="10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</row>
    <row r="45" spans="2:72" x14ac:dyDescent="0.2">
      <c r="B45" s="10"/>
      <c r="C45" s="10"/>
      <c r="D45" s="10"/>
      <c r="E45" s="10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</row>
    <row r="46" spans="2:72" x14ac:dyDescent="0.2">
      <c r="B46" s="10"/>
      <c r="C46" s="10"/>
      <c r="D46" s="10"/>
      <c r="E46" s="10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</row>
    <row r="47" spans="2:72" x14ac:dyDescent="0.2">
      <c r="B47" s="10"/>
      <c r="C47" s="10"/>
      <c r="D47" s="10"/>
      <c r="E47" s="10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</row>
    <row r="48" spans="2:72" x14ac:dyDescent="0.2">
      <c r="B48" s="10"/>
      <c r="C48" s="10"/>
      <c r="D48" s="10"/>
      <c r="E48" s="10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</row>
    <row r="49" spans="2:72" x14ac:dyDescent="0.2">
      <c r="B49" s="10"/>
      <c r="C49" s="10"/>
      <c r="D49" s="10"/>
      <c r="E49" s="10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</row>
    <row r="50" spans="2:72" x14ac:dyDescent="0.2">
      <c r="B50" s="10"/>
      <c r="C50" s="10"/>
      <c r="D50" s="10"/>
      <c r="E50" s="10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</row>
    <row r="51" spans="2:72" x14ac:dyDescent="0.2">
      <c r="B51" s="10"/>
      <c r="C51" s="10"/>
      <c r="D51" s="10"/>
      <c r="E51" s="10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</row>
    <row r="52" spans="2:72" x14ac:dyDescent="0.2">
      <c r="B52" s="10"/>
      <c r="C52" s="10"/>
      <c r="D52" s="10"/>
      <c r="E52" s="10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</row>
    <row r="53" spans="2:72" x14ac:dyDescent="0.2">
      <c r="B53" s="10"/>
      <c r="C53" s="10"/>
      <c r="D53" s="10"/>
      <c r="E53" s="10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</row>
    <row r="54" spans="2:72" x14ac:dyDescent="0.2">
      <c r="B54" s="10"/>
      <c r="C54" s="10"/>
      <c r="D54" s="10"/>
      <c r="E54" s="10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</row>
    <row r="55" spans="2:72" x14ac:dyDescent="0.2">
      <c r="B55" s="10"/>
      <c r="C55" s="10"/>
      <c r="D55" s="10"/>
      <c r="E55" s="10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</row>
    <row r="56" spans="2:72" x14ac:dyDescent="0.2">
      <c r="B56" s="10"/>
      <c r="C56" s="10"/>
      <c r="D56" s="10"/>
      <c r="E56" s="10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</row>
    <row r="57" spans="2:72" x14ac:dyDescent="0.2">
      <c r="B57" s="10"/>
      <c r="C57" s="10"/>
      <c r="D57" s="10"/>
      <c r="E57" s="10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</row>
    <row r="58" spans="2:72" x14ac:dyDescent="0.2">
      <c r="B58" s="10"/>
      <c r="C58" s="10"/>
      <c r="D58" s="10"/>
      <c r="E58" s="10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</row>
    <row r="59" spans="2:72" x14ac:dyDescent="0.2">
      <c r="B59" s="10"/>
      <c r="C59" s="10"/>
      <c r="D59" s="10"/>
      <c r="E59" s="10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</row>
    <row r="60" spans="2:72" x14ac:dyDescent="0.2">
      <c r="B60" s="10"/>
      <c r="C60" s="10"/>
      <c r="D60" s="10"/>
      <c r="E60" s="10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</row>
    <row r="61" spans="2:72" x14ac:dyDescent="0.2">
      <c r="B61" s="10"/>
      <c r="C61" s="10"/>
      <c r="D61" s="10"/>
      <c r="E61" s="10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</row>
    <row r="62" spans="2:72" x14ac:dyDescent="0.2">
      <c r="B62" s="10"/>
      <c r="C62" s="10"/>
      <c r="D62" s="10"/>
      <c r="E62" s="10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</row>
    <row r="63" spans="2:72" x14ac:dyDescent="0.2">
      <c r="B63" s="10"/>
      <c r="C63" s="10"/>
      <c r="D63" s="10"/>
      <c r="E63" s="10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</row>
    <row r="64" spans="2:72" x14ac:dyDescent="0.2">
      <c r="B64" s="10"/>
      <c r="C64" s="10"/>
      <c r="D64" s="10"/>
      <c r="E64" s="10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</row>
    <row r="65" spans="2:72" x14ac:dyDescent="0.2">
      <c r="B65" s="10"/>
      <c r="C65" s="10"/>
      <c r="D65" s="10"/>
      <c r="E65" s="10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</row>
    <row r="66" spans="2:72" x14ac:dyDescent="0.2">
      <c r="B66" s="10"/>
      <c r="C66" s="10"/>
      <c r="D66" s="10"/>
      <c r="E66" s="10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</row>
    <row r="67" spans="2:72" x14ac:dyDescent="0.2">
      <c r="B67" s="10"/>
      <c r="C67" s="10"/>
      <c r="D67" s="10"/>
      <c r="E67" s="10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</row>
    <row r="68" spans="2:72" x14ac:dyDescent="0.2">
      <c r="B68" s="10"/>
      <c r="C68" s="10"/>
      <c r="D68" s="10"/>
      <c r="E68" s="10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</row>
    <row r="69" spans="2:72" x14ac:dyDescent="0.2">
      <c r="B69" s="10"/>
      <c r="C69" s="10"/>
      <c r="D69" s="10"/>
      <c r="E69" s="10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</row>
    <row r="70" spans="2:72" x14ac:dyDescent="0.2">
      <c r="B70" s="10"/>
      <c r="C70" s="10"/>
      <c r="D70" s="10"/>
      <c r="E70" s="10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</row>
    <row r="71" spans="2:72" x14ac:dyDescent="0.2">
      <c r="B71" s="10"/>
      <c r="C71" s="10"/>
      <c r="D71" s="10"/>
      <c r="E71" s="10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</row>
    <row r="72" spans="2:72" x14ac:dyDescent="0.2">
      <c r="B72" s="10"/>
      <c r="C72" s="10"/>
      <c r="D72" s="10"/>
      <c r="E72" s="10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</row>
    <row r="73" spans="2:72" x14ac:dyDescent="0.2">
      <c r="B73" s="10"/>
      <c r="C73" s="10"/>
      <c r="D73" s="10"/>
      <c r="E73" s="10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</row>
    <row r="74" spans="2:72" x14ac:dyDescent="0.2">
      <c r="B74" s="10"/>
      <c r="C74" s="10"/>
      <c r="D74" s="10"/>
      <c r="E74" s="10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</row>
    <row r="75" spans="2:72" x14ac:dyDescent="0.2">
      <c r="B75" s="10"/>
      <c r="C75" s="10"/>
      <c r="D75" s="10"/>
      <c r="E75" s="10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</row>
    <row r="76" spans="2:72" x14ac:dyDescent="0.2">
      <c r="B76" s="10"/>
      <c r="C76" s="10"/>
      <c r="D76" s="10"/>
      <c r="E76" s="10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</row>
    <row r="77" spans="2:72" x14ac:dyDescent="0.2">
      <c r="B77" s="10"/>
      <c r="C77" s="10"/>
      <c r="D77" s="10"/>
      <c r="E77" s="10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</row>
    <row r="78" spans="2:72" x14ac:dyDescent="0.2">
      <c r="B78" s="10"/>
      <c r="C78" s="10"/>
      <c r="D78" s="10"/>
      <c r="E78" s="10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</row>
    <row r="79" spans="2:72" x14ac:dyDescent="0.2">
      <c r="B79" s="10"/>
      <c r="C79" s="10"/>
      <c r="D79" s="10"/>
      <c r="E79" s="10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</row>
    <row r="80" spans="2:72" x14ac:dyDescent="0.2">
      <c r="B80" s="10"/>
      <c r="C80" s="10"/>
      <c r="D80" s="10"/>
      <c r="E80" s="10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</row>
    <row r="81" spans="2:72" x14ac:dyDescent="0.2">
      <c r="B81" s="10"/>
      <c r="C81" s="10"/>
      <c r="D81" s="10"/>
      <c r="E81" s="10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</row>
    <row r="82" spans="2:72" x14ac:dyDescent="0.2">
      <c r="B82" s="10"/>
      <c r="C82" s="10"/>
      <c r="D82" s="10"/>
      <c r="E82" s="10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</row>
    <row r="83" spans="2:72" x14ac:dyDescent="0.2">
      <c r="B83" s="10"/>
      <c r="C83" s="10"/>
      <c r="D83" s="10"/>
      <c r="E83" s="10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</row>
    <row r="84" spans="2:72" x14ac:dyDescent="0.2">
      <c r="B84" s="10"/>
      <c r="C84" s="10"/>
      <c r="D84" s="10"/>
      <c r="E84" s="10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</row>
    <row r="85" spans="2:72" x14ac:dyDescent="0.2">
      <c r="B85" s="10"/>
      <c r="C85" s="10"/>
      <c r="D85" s="10"/>
      <c r="E85" s="10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</row>
    <row r="86" spans="2:72" x14ac:dyDescent="0.2">
      <c r="B86" s="10"/>
      <c r="C86" s="10"/>
      <c r="D86" s="10"/>
      <c r="E86" s="10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</row>
    <row r="87" spans="2:72" x14ac:dyDescent="0.2">
      <c r="B87" s="10"/>
      <c r="C87" s="10"/>
      <c r="D87" s="10"/>
      <c r="E87" s="10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</row>
    <row r="88" spans="2:72" x14ac:dyDescent="0.2">
      <c r="B88" s="10"/>
      <c r="C88" s="10"/>
      <c r="D88" s="10"/>
      <c r="E88" s="10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</row>
    <row r="89" spans="2:72" x14ac:dyDescent="0.2">
      <c r="B89" s="10"/>
      <c r="C89" s="10"/>
      <c r="D89" s="10"/>
      <c r="E89" s="10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</row>
    <row r="90" spans="2:72" x14ac:dyDescent="0.2">
      <c r="B90" s="10"/>
      <c r="C90" s="10"/>
      <c r="D90" s="10"/>
      <c r="E90" s="10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</row>
    <row r="91" spans="2:72" x14ac:dyDescent="0.2">
      <c r="B91" s="10"/>
      <c r="C91" s="10"/>
      <c r="D91" s="10"/>
      <c r="E91" s="10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</row>
    <row r="92" spans="2:72" x14ac:dyDescent="0.2">
      <c r="B92" s="10"/>
      <c r="C92" s="10"/>
      <c r="D92" s="10"/>
      <c r="E92" s="10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</row>
    <row r="93" spans="2:72" x14ac:dyDescent="0.2">
      <c r="B93" s="10"/>
      <c r="C93" s="10"/>
      <c r="D93" s="10"/>
      <c r="E93" s="10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</row>
    <row r="94" spans="2:72" x14ac:dyDescent="0.2">
      <c r="B94" s="10"/>
      <c r="C94" s="10"/>
      <c r="D94" s="10"/>
      <c r="E94" s="10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</row>
    <row r="95" spans="2:72" x14ac:dyDescent="0.2">
      <c r="B95" s="10"/>
      <c r="C95" s="10"/>
      <c r="D95" s="10"/>
      <c r="E95" s="10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</row>
    <row r="96" spans="2:72" x14ac:dyDescent="0.2">
      <c r="B96" s="10"/>
      <c r="C96" s="10"/>
      <c r="D96" s="10"/>
      <c r="E96" s="10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</row>
    <row r="97" spans="2:72" x14ac:dyDescent="0.2">
      <c r="B97" s="10"/>
      <c r="C97" s="10"/>
      <c r="D97" s="10"/>
      <c r="E97" s="10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</row>
    <row r="98" spans="2:72" x14ac:dyDescent="0.2">
      <c r="B98" s="10"/>
      <c r="C98" s="10"/>
      <c r="D98" s="10"/>
      <c r="E98" s="10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</row>
    <row r="99" spans="2:72" x14ac:dyDescent="0.2">
      <c r="B99" s="10"/>
      <c r="C99" s="10"/>
      <c r="D99" s="10"/>
      <c r="E99" s="10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</row>
    <row r="100" spans="2:72" x14ac:dyDescent="0.2">
      <c r="B100" s="10"/>
      <c r="C100" s="10"/>
      <c r="D100" s="10"/>
      <c r="E100" s="10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</row>
    <row r="101" spans="2:72" x14ac:dyDescent="0.2">
      <c r="B101" s="10"/>
      <c r="C101" s="10"/>
      <c r="D101" s="10"/>
      <c r="E101" s="10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</row>
    <row r="102" spans="2:72" x14ac:dyDescent="0.2">
      <c r="B102" s="10"/>
      <c r="C102" s="10"/>
      <c r="D102" s="10"/>
      <c r="E102" s="10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</row>
    <row r="103" spans="2:72" x14ac:dyDescent="0.2">
      <c r="B103" s="10"/>
      <c r="C103" s="10"/>
      <c r="D103" s="10"/>
      <c r="E103" s="10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</row>
    <row r="104" spans="2:72" x14ac:dyDescent="0.2">
      <c r="B104" s="10"/>
      <c r="C104" s="10"/>
      <c r="D104" s="10"/>
      <c r="E104" s="10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</row>
    <row r="105" spans="2:72" x14ac:dyDescent="0.2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</row>
    <row r="106" spans="2:72" x14ac:dyDescent="0.2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</row>
    <row r="107" spans="2:72" x14ac:dyDescent="0.2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</row>
    <row r="108" spans="2:72" x14ac:dyDescent="0.2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</row>
    <row r="109" spans="2:72" x14ac:dyDescent="0.2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</row>
    <row r="110" spans="2:72" x14ac:dyDescent="0.2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</row>
    <row r="111" spans="2:72" x14ac:dyDescent="0.2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</row>
    <row r="112" spans="2:72" x14ac:dyDescent="0.2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</row>
    <row r="113" spans="2:72" x14ac:dyDescent="0.2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</row>
    <row r="114" spans="2:72" x14ac:dyDescent="0.2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</row>
    <row r="115" spans="2:72" x14ac:dyDescent="0.2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</row>
    <row r="116" spans="2:72" x14ac:dyDescent="0.2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</row>
    <row r="117" spans="2:72" x14ac:dyDescent="0.2"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</row>
    <row r="118" spans="2:72" x14ac:dyDescent="0.2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</row>
    <row r="119" spans="2:72" x14ac:dyDescent="0.2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</row>
    <row r="120" spans="2:72" x14ac:dyDescent="0.2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</row>
    <row r="121" spans="2:72" x14ac:dyDescent="0.2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</row>
    <row r="122" spans="2:72" x14ac:dyDescent="0.2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</row>
    <row r="123" spans="2:72" x14ac:dyDescent="0.2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  <c r="BS123" s="11"/>
      <c r="BT123" s="11"/>
    </row>
    <row r="124" spans="2:72" x14ac:dyDescent="0.2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</row>
    <row r="125" spans="2:72" x14ac:dyDescent="0.2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</row>
    <row r="126" spans="2:72" x14ac:dyDescent="0.2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</row>
    <row r="127" spans="2:72" x14ac:dyDescent="0.2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  <c r="BS127" s="11"/>
      <c r="BT127" s="11"/>
    </row>
    <row r="128" spans="2:72" x14ac:dyDescent="0.2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  <c r="BS128" s="11"/>
      <c r="BT128" s="11"/>
    </row>
    <row r="129" spans="2:72" x14ac:dyDescent="0.2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  <c r="BS129" s="11"/>
      <c r="BT129" s="11"/>
    </row>
    <row r="130" spans="2:72" x14ac:dyDescent="0.2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  <c r="BS130" s="11"/>
      <c r="BT130" s="11"/>
    </row>
    <row r="131" spans="2:72" x14ac:dyDescent="0.2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  <c r="BS131" s="11"/>
      <c r="BT131" s="11"/>
    </row>
    <row r="132" spans="2:72" x14ac:dyDescent="0.2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  <c r="BS132" s="11"/>
      <c r="BT132" s="11"/>
    </row>
    <row r="133" spans="2:72" x14ac:dyDescent="0.2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  <c r="BS133" s="11"/>
      <c r="BT133" s="11"/>
    </row>
    <row r="134" spans="2:72" x14ac:dyDescent="0.2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</row>
    <row r="135" spans="2:72" x14ac:dyDescent="0.2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  <c r="BS135" s="11"/>
      <c r="BT135" s="11"/>
    </row>
    <row r="136" spans="2:72" x14ac:dyDescent="0.2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</row>
    <row r="137" spans="2:72" x14ac:dyDescent="0.2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</row>
    <row r="138" spans="2:72" x14ac:dyDescent="0.2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  <c r="BS138" s="11"/>
      <c r="BT138" s="11"/>
    </row>
    <row r="139" spans="2:72" x14ac:dyDescent="0.2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  <c r="BS139" s="11"/>
      <c r="BT139" s="11"/>
    </row>
  </sheetData>
  <dataConsolidate/>
  <mergeCells count="13">
    <mergeCell ref="U3:Y3"/>
    <mergeCell ref="A3:D3"/>
    <mergeCell ref="F3:K3"/>
    <mergeCell ref="M3:N3"/>
    <mergeCell ref="P3:T3"/>
    <mergeCell ref="BN3:BP3"/>
    <mergeCell ref="AA3:AC3"/>
    <mergeCell ref="AD3:AQ3"/>
    <mergeCell ref="AS3:AV3"/>
    <mergeCell ref="AW3:BA3"/>
    <mergeCell ref="BB3:BC3"/>
    <mergeCell ref="BD3:BE3"/>
    <mergeCell ref="BF3:BM3"/>
  </mergeCells>
  <dataValidations count="2">
    <dataValidation allowBlank="1" showInputMessage="1" sqref="AG1:AG4 AG154:AG1048576" xr:uid="{00000000-0002-0000-0000-000000000000}"/>
    <dataValidation showInputMessage="1" showErrorMessage="1" sqref="E6:E15" xr:uid="{B37C5027-8358-C04D-8EF7-E65AF611D3A6}"/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1">
        <x14:dataValidation type="list" showInputMessage="1" showErrorMessage="1" xr:uid="{00000000-0002-0000-0000-000001000000}">
          <x14:formula1>
            <xm:f>Validations!$B$3:$B$103</xm:f>
          </x14:formula1>
          <xm:sqref>D5:E5</xm:sqref>
        </x14:dataValidation>
        <x14:dataValidation type="list" allowBlank="1" showInputMessage="1" showErrorMessage="1" xr:uid="{00000000-0002-0000-0000-000002000000}">
          <x14:formula1>
            <xm:f>Validations!$C$3:$C$5</xm:f>
          </x14:formula1>
          <xm:sqref>G5:H5</xm:sqref>
        </x14:dataValidation>
        <x14:dataValidation type="list" showInputMessage="1" showErrorMessage="1" xr:uid="{00000000-0002-0000-0000-000003000000}">
          <x14:formula1>
            <xm:f>Validations!$D$3:$D$11</xm:f>
          </x14:formula1>
          <xm:sqref>I5</xm:sqref>
        </x14:dataValidation>
        <x14:dataValidation type="list" allowBlank="1" showInputMessage="1" showErrorMessage="1" xr:uid="{00000000-0002-0000-0000-000004000000}">
          <x14:formula1>
            <xm:f>Validations!$F$3:$F$22</xm:f>
          </x14:formula1>
          <xm:sqref>K5</xm:sqref>
        </x14:dataValidation>
        <x14:dataValidation type="list" allowBlank="1" showInputMessage="1" showErrorMessage="1" xr:uid="{00000000-0002-0000-0000-000005000000}">
          <x14:formula1>
            <xm:f>Validations!$G$3:$G$4</xm:f>
          </x14:formula1>
          <xm:sqref>L5</xm:sqref>
        </x14:dataValidation>
        <x14:dataValidation type="list" allowBlank="1" showInputMessage="1" showErrorMessage="1" xr:uid="{00000000-0002-0000-0000-000006000000}">
          <x14:formula1>
            <xm:f>Validations!$H$3:$H$11</xm:f>
          </x14:formula1>
          <xm:sqref>M5</xm:sqref>
        </x14:dataValidation>
        <x14:dataValidation type="list" allowBlank="1" showInputMessage="1" showErrorMessage="1" xr:uid="{00000000-0002-0000-0000-000007000000}">
          <x14:formula1>
            <xm:f>Validations!$I$3:$I$11</xm:f>
          </x14:formula1>
          <xm:sqref>Q5</xm:sqref>
        </x14:dataValidation>
        <x14:dataValidation type="list" allowBlank="1" showInputMessage="1" showErrorMessage="1" xr:uid="{00000000-0002-0000-0000-000008000000}">
          <x14:formula1>
            <xm:f>Validations!$J$3:$J$10</xm:f>
          </x14:formula1>
          <xm:sqref>S5</xm:sqref>
        </x14:dataValidation>
        <x14:dataValidation type="list" allowBlank="1" showInputMessage="1" showErrorMessage="1" xr:uid="{00000000-0002-0000-0000-000009000000}">
          <x14:formula1>
            <xm:f>Validations!$K$3:$K$5</xm:f>
          </x14:formula1>
          <xm:sqref>T5</xm:sqref>
        </x14:dataValidation>
        <x14:dataValidation type="list" allowBlank="1" showInputMessage="1" showErrorMessage="1" xr:uid="{00000000-0002-0000-0000-00000A000000}">
          <x14:formula1>
            <xm:f>Validations!$M$3:$M$4</xm:f>
          </x14:formula1>
          <xm:sqref>Z5</xm:sqref>
        </x14:dataValidation>
        <x14:dataValidation type="list" allowBlank="1" showInputMessage="1" showErrorMessage="1" xr:uid="{00000000-0002-0000-0000-00000B000000}">
          <x14:formula1>
            <xm:f>Validations!$N$3:$N$6</xm:f>
          </x14:formula1>
          <xm:sqref>AA5</xm:sqref>
        </x14:dataValidation>
        <x14:dataValidation type="list" allowBlank="1" showInputMessage="1" showErrorMessage="1" xr:uid="{00000000-0002-0000-0000-00000C000000}">
          <x14:formula1>
            <xm:f>Validations!$O$3:$O$5</xm:f>
          </x14:formula1>
          <xm:sqref>AD5</xm:sqref>
        </x14:dataValidation>
        <x14:dataValidation type="list" allowBlank="1" showInputMessage="1" showErrorMessage="1" xr:uid="{00000000-0002-0000-0000-00000D000000}">
          <x14:formula1>
            <xm:f>Validations!$P$3:$P$5</xm:f>
          </x14:formula1>
          <xm:sqref>AE5</xm:sqref>
        </x14:dataValidation>
        <x14:dataValidation type="list" allowBlank="1" showInputMessage="1" showErrorMessage="1" xr:uid="{00000000-0002-0000-0000-00000E000000}">
          <x14:formula1>
            <xm:f>Validations!$Q$3:$Q$4</xm:f>
          </x14:formula1>
          <xm:sqref>AG5</xm:sqref>
        </x14:dataValidation>
        <x14:dataValidation type="list" showInputMessage="1" showErrorMessage="1" xr:uid="{00000000-0002-0000-0000-00000F000000}">
          <x14:formula1>
            <xm:f>Validations!$R$3:$R$4</xm:f>
          </x14:formula1>
          <xm:sqref>AL5:AL15</xm:sqref>
        </x14:dataValidation>
        <x14:dataValidation type="list" allowBlank="1" showInputMessage="1" showErrorMessage="1" xr:uid="{00000000-0002-0000-0000-000010000000}">
          <x14:formula1>
            <xm:f>Validations!$L$3:$L$5</xm:f>
          </x14:formula1>
          <xm:sqref>Y5</xm:sqref>
        </x14:dataValidation>
        <x14:dataValidation type="list" allowBlank="1" showInputMessage="1" showErrorMessage="1" xr:uid="{00000000-0002-0000-0000-000011000000}">
          <x14:formula1>
            <xm:f>Validations!$L$5:$L$7</xm:f>
          </x14:formula1>
          <xm:sqref>AV5</xm:sqref>
        </x14:dataValidation>
        <x14:dataValidation type="list" allowBlank="1" showInputMessage="1" showErrorMessage="1" xr:uid="{00000000-0002-0000-0000-000012000000}">
          <x14:formula1>
            <xm:f>Validations!$T$3:$T$4</xm:f>
          </x14:formula1>
          <xm:sqref>AY5</xm:sqref>
        </x14:dataValidation>
        <x14:dataValidation type="list" allowBlank="1" showInputMessage="1" showErrorMessage="1" xr:uid="{00000000-0002-0000-0000-000013000000}">
          <x14:formula1>
            <xm:f>Validations!$U$3:$U$4</xm:f>
          </x14:formula1>
          <xm:sqref>BA5</xm:sqref>
        </x14:dataValidation>
        <x14:dataValidation type="list" allowBlank="1" showInputMessage="1" showErrorMessage="1" xr:uid="{00000000-0002-0000-0000-000014000000}">
          <x14:formula1>
            <xm:f>Validations!$V$3:$V$5</xm:f>
          </x14:formula1>
          <xm:sqref>BP5</xm:sqref>
        </x14:dataValidation>
        <x14:dataValidation type="list" allowBlank="1" showInputMessage="1" showErrorMessage="1" xr:uid="{00000000-0002-0000-0000-000015000000}">
          <x14:formula1>
            <xm:f>Validations!$E$3:$E$4</xm:f>
          </x14:formula1>
          <xm:sqref>J5</xm:sqref>
        </x14:dataValidation>
        <x14:dataValidation type="list" allowBlank="1" showInputMessage="1" showErrorMessage="1" xr:uid="{00000000-0002-0000-0000-000016000000}">
          <x14:formula1>
            <xm:f>Validations!$K$3:$K$6</xm:f>
          </x14:formula1>
          <xm:sqref>T6:T15</xm:sqref>
        </x14:dataValidation>
        <x14:dataValidation type="list" allowBlank="1" showInputMessage="1" showErrorMessage="1" xr:uid="{00000000-0002-0000-0000-000017000000}">
          <x14:formula1>
            <xm:f>Validations!$G$3:$G$5</xm:f>
          </x14:formula1>
          <xm:sqref>L6:L15</xm:sqref>
        </x14:dataValidation>
        <x14:dataValidation type="list" showInputMessage="1" showErrorMessage="1" xr:uid="{00000000-0002-0000-0000-000018000000}">
          <x14:formula1>
            <xm:f>Validations!$B$3:$B$104</xm:f>
          </x14:formula1>
          <xm:sqref>D6:D15</xm:sqref>
        </x14:dataValidation>
        <x14:dataValidation type="list" allowBlank="1" showInputMessage="1" showErrorMessage="1" xr:uid="{00000000-0002-0000-0000-000019000000}">
          <x14:formula1>
            <xm:f>Validations!$C$3:$C$6</xm:f>
          </x14:formula1>
          <xm:sqref>G6:G15</xm:sqref>
        </x14:dataValidation>
        <x14:dataValidation type="list" showInputMessage="1" showErrorMessage="1" xr:uid="{00000000-0002-0000-0000-00001A000000}">
          <x14:formula1>
            <xm:f>Validations!$D$3:$D$12</xm:f>
          </x14:formula1>
          <xm:sqref>I6:I15</xm:sqref>
        </x14:dataValidation>
        <x14:dataValidation type="list" allowBlank="1" showInputMessage="1" showErrorMessage="1" xr:uid="{00000000-0002-0000-0000-00001B000000}">
          <x14:formula1>
            <xm:f>Validations!$E$3:$E$5</xm:f>
          </x14:formula1>
          <xm:sqref>J6:J15</xm:sqref>
        </x14:dataValidation>
        <x14:dataValidation type="list" allowBlank="1" showInputMessage="1" showErrorMessage="1" xr:uid="{00000000-0002-0000-0000-00001C000000}">
          <x14:formula1>
            <xm:f>Validations!$F$3:$F$23</xm:f>
          </x14:formula1>
          <xm:sqref>K6:K15</xm:sqref>
        </x14:dataValidation>
        <x14:dataValidation type="list" allowBlank="1" showInputMessage="1" showErrorMessage="1" xr:uid="{00000000-0002-0000-0000-00001D000000}">
          <x14:formula1>
            <xm:f>Validations!$H$3:$H$12</xm:f>
          </x14:formula1>
          <xm:sqref>M6:M15</xm:sqref>
        </x14:dataValidation>
        <x14:dataValidation type="list" allowBlank="1" showInputMessage="1" showErrorMessage="1" xr:uid="{00000000-0002-0000-0000-00001E000000}">
          <x14:formula1>
            <xm:f>Validations!$I$3:$I$12</xm:f>
          </x14:formula1>
          <xm:sqref>Q6:Q15</xm:sqref>
        </x14:dataValidation>
        <x14:dataValidation type="list" allowBlank="1" showInputMessage="1" showErrorMessage="1" xr:uid="{00000000-0002-0000-0000-00001F000000}">
          <x14:formula1>
            <xm:f>Validations!$J$3:$J$11</xm:f>
          </x14:formula1>
          <xm:sqref>S6:S15</xm:sqref>
        </x14:dataValidation>
        <x14:dataValidation type="list" allowBlank="1" showInputMessage="1" showErrorMessage="1" xr:uid="{00000000-0002-0000-0000-000021000000}">
          <x14:formula1>
            <xm:f>Validations!$N$3:$N$7</xm:f>
          </x14:formula1>
          <xm:sqref>AA6:AA15</xm:sqref>
        </x14:dataValidation>
        <x14:dataValidation type="list" allowBlank="1" showInputMessage="1" showErrorMessage="1" xr:uid="{00000000-0002-0000-0000-000022000000}">
          <x14:formula1>
            <xm:f>Validations!$O$3:$O$6</xm:f>
          </x14:formula1>
          <xm:sqref>AD6:AD15</xm:sqref>
        </x14:dataValidation>
        <x14:dataValidation type="list" allowBlank="1" showInputMessage="1" showErrorMessage="1" xr:uid="{00000000-0002-0000-0000-000023000000}">
          <x14:formula1>
            <xm:f>Validations!$P$3:$P$6</xm:f>
          </x14:formula1>
          <xm:sqref>AE6:AE15</xm:sqref>
        </x14:dataValidation>
        <x14:dataValidation type="list" allowBlank="1" showInputMessage="1" showErrorMessage="1" xr:uid="{00000000-0002-0000-0000-000024000000}">
          <x14:formula1>
            <xm:f>Validations!$Q$3:$Q$5</xm:f>
          </x14:formula1>
          <xm:sqref>AG6:AG15</xm:sqref>
        </x14:dataValidation>
        <x14:dataValidation type="list" allowBlank="1" showInputMessage="1" showErrorMessage="1" xr:uid="{00000000-0002-0000-0000-000025000000}">
          <x14:formula1>
            <xm:f>Validations!$W$3:$W$6</xm:f>
          </x14:formula1>
          <xm:sqref>AV6:AV15</xm:sqref>
        </x14:dataValidation>
        <x14:dataValidation type="list" allowBlank="1" showInputMessage="1" showErrorMessage="1" xr:uid="{00000000-0002-0000-0000-000026000000}">
          <x14:formula1>
            <xm:f>Validations!$T$3:$T$5</xm:f>
          </x14:formula1>
          <xm:sqref>AY6:AY15</xm:sqref>
        </x14:dataValidation>
        <x14:dataValidation type="list" allowBlank="1" showInputMessage="1" showErrorMessage="1" xr:uid="{00000000-0002-0000-0000-000027000000}">
          <x14:formula1>
            <xm:f>Validations!$U$3:$U$5</xm:f>
          </x14:formula1>
          <xm:sqref>BA6:BA15</xm:sqref>
        </x14:dataValidation>
        <x14:dataValidation type="list" allowBlank="1" showInputMessage="1" showErrorMessage="1" xr:uid="{00000000-0002-0000-0000-000028000000}">
          <x14:formula1>
            <xm:f>Validations!$V$3:$V$6</xm:f>
          </x14:formula1>
          <xm:sqref>BP6:BP15</xm:sqref>
        </x14:dataValidation>
        <x14:dataValidation type="list" allowBlank="1" showInputMessage="1" showErrorMessage="1" xr:uid="{00000000-0002-0000-0000-000029000000}">
          <x14:formula1>
            <xm:f>Validations!$L$3:$L$6</xm:f>
          </x14:formula1>
          <xm:sqref>Y6:Y15</xm:sqref>
        </x14:dataValidation>
        <x14:dataValidation type="list" allowBlank="1" showInputMessage="1" showErrorMessage="1" xr:uid="{00000000-0002-0000-0000-000020000000}">
          <x14:formula1>
            <xm:f>Validations!$M$3:$M$5</xm:f>
          </x14:formula1>
          <xm:sqref>Z6:Z9 Z11:Z15 AC10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W103"/>
  <sheetViews>
    <sheetView topLeftCell="G1" workbookViewId="0">
      <selection activeCell="W5" sqref="W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7" width="19.5" style="1" customWidth="1"/>
    <col min="18" max="18" width="13" style="1" bestFit="1" customWidth="1"/>
    <col min="19" max="19" width="15.6640625" style="1" bestFit="1" customWidth="1"/>
    <col min="20" max="20" width="14" style="1" bestFit="1" customWidth="1"/>
    <col min="21" max="21" width="14.5" style="1" bestFit="1" customWidth="1"/>
    <col min="22" max="22" width="10.83203125" style="1"/>
    <col min="23" max="23" width="26.83203125" style="1" bestFit="1" customWidth="1"/>
    <col min="24" max="16384" width="10.83203125" style="1"/>
  </cols>
  <sheetData>
    <row r="2" spans="1:23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218</v>
      </c>
      <c r="R2" s="3" t="s">
        <v>28</v>
      </c>
      <c r="S2" s="3" t="s">
        <v>29</v>
      </c>
      <c r="T2" s="3" t="s">
        <v>38</v>
      </c>
      <c r="U2" s="3" t="s">
        <v>40</v>
      </c>
      <c r="V2" s="3" t="s">
        <v>46</v>
      </c>
      <c r="W2" s="3" t="s">
        <v>244</v>
      </c>
    </row>
    <row r="3" spans="1:23" x14ac:dyDescent="0.2">
      <c r="B3" s="1" t="s">
        <v>60</v>
      </c>
      <c r="C3" s="1" t="s">
        <v>161</v>
      </c>
      <c r="D3" s="1" t="s">
        <v>163</v>
      </c>
      <c r="E3" s="1" t="s">
        <v>172</v>
      </c>
      <c r="F3" s="1">
        <v>1</v>
      </c>
      <c r="G3" s="1" t="s">
        <v>174</v>
      </c>
      <c r="H3" s="1" t="s">
        <v>176</v>
      </c>
      <c r="I3" s="1" t="s">
        <v>185</v>
      </c>
      <c r="J3" s="1" t="s">
        <v>186</v>
      </c>
      <c r="K3" s="1" t="s">
        <v>193</v>
      </c>
      <c r="L3" s="1" t="s">
        <v>196</v>
      </c>
      <c r="M3" s="1" t="s">
        <v>199</v>
      </c>
      <c r="N3" s="1" t="s">
        <v>201</v>
      </c>
      <c r="O3" s="1" t="s">
        <v>205</v>
      </c>
      <c r="P3" s="1" t="s">
        <v>208</v>
      </c>
      <c r="Q3" s="1" t="s">
        <v>220</v>
      </c>
      <c r="R3" s="1" t="s">
        <v>213</v>
      </c>
      <c r="S3" s="1" t="s">
        <v>214</v>
      </c>
      <c r="T3" s="1" t="s">
        <v>175</v>
      </c>
      <c r="U3" s="1" t="s">
        <v>175</v>
      </c>
      <c r="V3" s="1" t="s">
        <v>211</v>
      </c>
      <c r="W3" s="1" t="s">
        <v>245</v>
      </c>
    </row>
    <row r="4" spans="1:23" x14ac:dyDescent="0.2">
      <c r="B4" s="1" t="s">
        <v>61</v>
      </c>
      <c r="C4" s="1" t="s">
        <v>162</v>
      </c>
      <c r="D4" s="1" t="s">
        <v>164</v>
      </c>
      <c r="E4" s="1" t="s">
        <v>173</v>
      </c>
      <c r="F4" s="1">
        <v>2</v>
      </c>
      <c r="G4" s="1" t="s">
        <v>175</v>
      </c>
      <c r="H4" s="1" t="s">
        <v>182</v>
      </c>
      <c r="I4" s="1" t="s">
        <v>186</v>
      </c>
      <c r="J4" s="1" t="s">
        <v>187</v>
      </c>
      <c r="K4" s="1" t="s">
        <v>194</v>
      </c>
      <c r="L4" s="1" t="s">
        <v>198</v>
      </c>
      <c r="M4" s="1" t="s">
        <v>200</v>
      </c>
      <c r="N4" s="1" t="s">
        <v>202</v>
      </c>
      <c r="O4" s="1" t="s">
        <v>206</v>
      </c>
      <c r="P4" s="1" t="s">
        <v>209</v>
      </c>
      <c r="Q4" s="1" t="s">
        <v>219</v>
      </c>
      <c r="R4" s="1" t="str">
        <f>" "</f>
        <v xml:space="preserve"> </v>
      </c>
      <c r="S4" s="1" t="s">
        <v>215</v>
      </c>
      <c r="T4" s="1" t="s">
        <v>174</v>
      </c>
      <c r="U4" s="1" t="s">
        <v>174</v>
      </c>
      <c r="V4" s="1" t="s">
        <v>212</v>
      </c>
      <c r="W4" s="1" t="s">
        <v>197</v>
      </c>
    </row>
    <row r="5" spans="1:23" x14ac:dyDescent="0.2">
      <c r="B5" s="1" t="s">
        <v>62</v>
      </c>
      <c r="C5" s="1" t="s">
        <v>160</v>
      </c>
      <c r="D5" s="1" t="s">
        <v>165</v>
      </c>
      <c r="F5" s="1">
        <v>3</v>
      </c>
      <c r="H5" s="1" t="s">
        <v>177</v>
      </c>
      <c r="I5" s="1" t="s">
        <v>187</v>
      </c>
      <c r="J5" s="1" t="s">
        <v>188</v>
      </c>
      <c r="K5" s="1" t="s">
        <v>195</v>
      </c>
      <c r="L5" s="1" t="s">
        <v>197</v>
      </c>
      <c r="N5" s="1" t="s">
        <v>203</v>
      </c>
      <c r="O5" s="1" t="s">
        <v>207</v>
      </c>
      <c r="P5" s="1" t="s">
        <v>210</v>
      </c>
      <c r="S5" s="1" t="s">
        <v>216</v>
      </c>
      <c r="V5" s="1" t="s">
        <v>221</v>
      </c>
      <c r="W5" s="1" t="s">
        <v>246</v>
      </c>
    </row>
    <row r="6" spans="1:23" x14ac:dyDescent="0.2">
      <c r="B6" s="1" t="s">
        <v>63</v>
      </c>
      <c r="D6" s="1" t="s">
        <v>166</v>
      </c>
      <c r="F6" s="1">
        <v>4</v>
      </c>
      <c r="H6" s="1" t="s">
        <v>178</v>
      </c>
      <c r="I6" s="1" t="s">
        <v>188</v>
      </c>
      <c r="J6" s="1" t="s">
        <v>189</v>
      </c>
      <c r="N6" s="1" t="s">
        <v>204</v>
      </c>
      <c r="S6" s="1" t="s">
        <v>217</v>
      </c>
    </row>
    <row r="7" spans="1:23" x14ac:dyDescent="0.2">
      <c r="B7" s="1" t="s">
        <v>64</v>
      </c>
      <c r="D7" s="1" t="s">
        <v>167</v>
      </c>
      <c r="F7" s="1">
        <v>5</v>
      </c>
      <c r="H7" s="1" t="s">
        <v>179</v>
      </c>
      <c r="I7" s="1" t="s">
        <v>189</v>
      </c>
      <c r="J7" s="1" t="s">
        <v>183</v>
      </c>
    </row>
    <row r="8" spans="1:23" x14ac:dyDescent="0.2">
      <c r="B8" s="1" t="s">
        <v>65</v>
      </c>
      <c r="D8" s="1" t="s">
        <v>168</v>
      </c>
      <c r="F8" s="1">
        <v>6</v>
      </c>
      <c r="H8" s="1" t="s">
        <v>180</v>
      </c>
      <c r="I8" s="1" t="s">
        <v>183</v>
      </c>
      <c r="J8" s="1" t="s">
        <v>190</v>
      </c>
    </row>
    <row r="9" spans="1:23" x14ac:dyDescent="0.2">
      <c r="B9" s="1" t="s">
        <v>66</v>
      </c>
      <c r="D9" s="1" t="s">
        <v>169</v>
      </c>
      <c r="F9" s="1">
        <v>7</v>
      </c>
      <c r="H9" s="1" t="s">
        <v>181</v>
      </c>
      <c r="I9" s="1" t="s">
        <v>190</v>
      </c>
      <c r="J9" s="1" t="s">
        <v>191</v>
      </c>
    </row>
    <row r="10" spans="1:23" x14ac:dyDescent="0.2">
      <c r="B10" s="1" t="s">
        <v>67</v>
      </c>
      <c r="D10" s="1" t="s">
        <v>170</v>
      </c>
      <c r="F10" s="1">
        <v>8</v>
      </c>
      <c r="H10" s="1" t="s">
        <v>183</v>
      </c>
      <c r="I10" s="1" t="s">
        <v>191</v>
      </c>
      <c r="J10" s="1" t="s">
        <v>192</v>
      </c>
    </row>
    <row r="11" spans="1:23" x14ac:dyDescent="0.2">
      <c r="B11" s="1" t="s">
        <v>68</v>
      </c>
      <c r="D11" s="1" t="s">
        <v>171</v>
      </c>
      <c r="F11" s="1">
        <v>9</v>
      </c>
      <c r="H11" s="1" t="s">
        <v>184</v>
      </c>
      <c r="I11" s="1" t="s">
        <v>192</v>
      </c>
    </row>
    <row r="12" spans="1:23" x14ac:dyDescent="0.2">
      <c r="B12" s="1" t="s">
        <v>69</v>
      </c>
      <c r="F12" s="1">
        <v>10</v>
      </c>
    </row>
    <row r="13" spans="1:23" x14ac:dyDescent="0.2">
      <c r="B13" s="1" t="s">
        <v>70</v>
      </c>
      <c r="F13" s="1">
        <v>11</v>
      </c>
    </row>
    <row r="14" spans="1:23" x14ac:dyDescent="0.2">
      <c r="B14" s="1" t="s">
        <v>71</v>
      </c>
      <c r="F14" s="1">
        <v>12</v>
      </c>
    </row>
    <row r="15" spans="1:23" x14ac:dyDescent="0.2">
      <c r="B15" s="1" t="s">
        <v>72</v>
      </c>
      <c r="F15" s="1">
        <v>13</v>
      </c>
    </row>
    <row r="16" spans="1:23" x14ac:dyDescent="0.2">
      <c r="B16" s="1" t="s">
        <v>73</v>
      </c>
      <c r="F16" s="1">
        <v>14</v>
      </c>
    </row>
    <row r="17" spans="2:6" x14ac:dyDescent="0.2">
      <c r="B17" s="1" t="s">
        <v>74</v>
      </c>
      <c r="F17" s="1">
        <v>15</v>
      </c>
    </row>
    <row r="18" spans="2:6" x14ac:dyDescent="0.2">
      <c r="B18" s="1" t="s">
        <v>75</v>
      </c>
      <c r="F18" s="1">
        <v>16</v>
      </c>
    </row>
    <row r="19" spans="2:6" x14ac:dyDescent="0.2">
      <c r="B19" s="1" t="s">
        <v>76</v>
      </c>
      <c r="F19" s="1">
        <v>17</v>
      </c>
    </row>
    <row r="20" spans="2:6" x14ac:dyDescent="0.2">
      <c r="B20" s="1" t="s">
        <v>77</v>
      </c>
      <c r="F20" s="1">
        <v>18</v>
      </c>
    </row>
    <row r="21" spans="2:6" x14ac:dyDescent="0.2">
      <c r="B21" s="1" t="s">
        <v>78</v>
      </c>
      <c r="F21" s="1">
        <v>19</v>
      </c>
    </row>
    <row r="22" spans="2:6" x14ac:dyDescent="0.2">
      <c r="B22" s="1" t="s">
        <v>79</v>
      </c>
      <c r="F22" s="1">
        <v>20</v>
      </c>
    </row>
    <row r="23" spans="2:6" x14ac:dyDescent="0.2">
      <c r="B23" s="1" t="s">
        <v>80</v>
      </c>
    </row>
    <row r="24" spans="2:6" x14ac:dyDescent="0.2">
      <c r="B24" s="1" t="s">
        <v>81</v>
      </c>
    </row>
    <row r="25" spans="2:6" x14ac:dyDescent="0.2">
      <c r="B25" s="1" t="s">
        <v>82</v>
      </c>
    </row>
    <row r="26" spans="2:6" x14ac:dyDescent="0.2">
      <c r="B26" s="1" t="s">
        <v>83</v>
      </c>
    </row>
    <row r="27" spans="2:6" x14ac:dyDescent="0.2">
      <c r="B27" s="1" t="s">
        <v>84</v>
      </c>
    </row>
    <row r="28" spans="2:6" x14ac:dyDescent="0.2">
      <c r="B28" s="1" t="s">
        <v>85</v>
      </c>
    </row>
    <row r="29" spans="2:6" x14ac:dyDescent="0.2">
      <c r="B29" s="1" t="s">
        <v>86</v>
      </c>
    </row>
    <row r="30" spans="2:6" x14ac:dyDescent="0.2">
      <c r="B30" s="1" t="s">
        <v>87</v>
      </c>
    </row>
    <row r="31" spans="2:6" x14ac:dyDescent="0.2">
      <c r="B31" s="1" t="s">
        <v>88</v>
      </c>
    </row>
    <row r="32" spans="2:6" x14ac:dyDescent="0.2">
      <c r="B32" s="1" t="s">
        <v>89</v>
      </c>
    </row>
    <row r="33" spans="2:2" x14ac:dyDescent="0.2">
      <c r="B33" s="1" t="s">
        <v>90</v>
      </c>
    </row>
    <row r="34" spans="2:2" x14ac:dyDescent="0.2">
      <c r="B34" s="1" t="s">
        <v>91</v>
      </c>
    </row>
    <row r="35" spans="2:2" x14ac:dyDescent="0.2">
      <c r="B35" s="1" t="s">
        <v>92</v>
      </c>
    </row>
    <row r="36" spans="2:2" x14ac:dyDescent="0.2">
      <c r="B36" s="1" t="s">
        <v>93</v>
      </c>
    </row>
    <row r="37" spans="2:2" x14ac:dyDescent="0.2">
      <c r="B37" s="1" t="s">
        <v>94</v>
      </c>
    </row>
    <row r="38" spans="2:2" x14ac:dyDescent="0.2">
      <c r="B38" s="1" t="s">
        <v>95</v>
      </c>
    </row>
    <row r="39" spans="2:2" x14ac:dyDescent="0.2">
      <c r="B39" s="1" t="s">
        <v>96</v>
      </c>
    </row>
    <row r="40" spans="2:2" x14ac:dyDescent="0.2">
      <c r="B40" s="1" t="s">
        <v>97</v>
      </c>
    </row>
    <row r="41" spans="2:2" x14ac:dyDescent="0.2">
      <c r="B41" s="1" t="s">
        <v>98</v>
      </c>
    </row>
    <row r="42" spans="2:2" x14ac:dyDescent="0.2">
      <c r="B42" s="1" t="s">
        <v>99</v>
      </c>
    </row>
    <row r="43" spans="2:2" x14ac:dyDescent="0.2">
      <c r="B43" s="1" t="s">
        <v>100</v>
      </c>
    </row>
    <row r="44" spans="2:2" x14ac:dyDescent="0.2">
      <c r="B44" s="1" t="s">
        <v>101</v>
      </c>
    </row>
    <row r="45" spans="2:2" x14ac:dyDescent="0.2">
      <c r="B45" s="1" t="s">
        <v>102</v>
      </c>
    </row>
    <row r="46" spans="2:2" x14ac:dyDescent="0.2">
      <c r="B46" s="1" t="s">
        <v>103</v>
      </c>
    </row>
    <row r="47" spans="2:2" x14ac:dyDescent="0.2">
      <c r="B47" s="1" t="s">
        <v>104</v>
      </c>
    </row>
    <row r="48" spans="2:2" x14ac:dyDescent="0.2">
      <c r="B48" s="1" t="s">
        <v>105</v>
      </c>
    </row>
    <row r="49" spans="2:2" x14ac:dyDescent="0.2">
      <c r="B49" s="1" t="s">
        <v>106</v>
      </c>
    </row>
    <row r="50" spans="2:2" x14ac:dyDescent="0.2">
      <c r="B50" s="1" t="s">
        <v>107</v>
      </c>
    </row>
    <row r="51" spans="2:2" x14ac:dyDescent="0.2">
      <c r="B51" s="1" t="s">
        <v>108</v>
      </c>
    </row>
    <row r="52" spans="2:2" x14ac:dyDescent="0.2">
      <c r="B52" s="1" t="s">
        <v>109</v>
      </c>
    </row>
    <row r="53" spans="2:2" x14ac:dyDescent="0.2">
      <c r="B53" s="1" t="s">
        <v>110</v>
      </c>
    </row>
    <row r="54" spans="2:2" x14ac:dyDescent="0.2">
      <c r="B54" s="1" t="s">
        <v>111</v>
      </c>
    </row>
    <row r="55" spans="2:2" x14ac:dyDescent="0.2">
      <c r="B55" s="1" t="s">
        <v>112</v>
      </c>
    </row>
    <row r="56" spans="2:2" x14ac:dyDescent="0.2">
      <c r="B56" s="1" t="s">
        <v>113</v>
      </c>
    </row>
    <row r="57" spans="2:2" x14ac:dyDescent="0.2">
      <c r="B57" s="1" t="s">
        <v>114</v>
      </c>
    </row>
    <row r="58" spans="2:2" x14ac:dyDescent="0.2">
      <c r="B58" s="1" t="s">
        <v>115</v>
      </c>
    </row>
    <row r="59" spans="2:2" x14ac:dyDescent="0.2">
      <c r="B59" s="1" t="s">
        <v>116</v>
      </c>
    </row>
    <row r="60" spans="2:2" x14ac:dyDescent="0.2">
      <c r="B60" s="1" t="s">
        <v>117</v>
      </c>
    </row>
    <row r="61" spans="2:2" x14ac:dyDescent="0.2">
      <c r="B61" s="1" t="s">
        <v>118</v>
      </c>
    </row>
    <row r="62" spans="2:2" x14ac:dyDescent="0.2">
      <c r="B62" s="1" t="s">
        <v>119</v>
      </c>
    </row>
    <row r="63" spans="2:2" x14ac:dyDescent="0.2">
      <c r="B63" s="1" t="s">
        <v>120</v>
      </c>
    </row>
    <row r="64" spans="2:2" x14ac:dyDescent="0.2">
      <c r="B64" s="1" t="s">
        <v>121</v>
      </c>
    </row>
    <row r="65" spans="2:2" x14ac:dyDescent="0.2">
      <c r="B65" s="1" t="s">
        <v>122</v>
      </c>
    </row>
    <row r="66" spans="2:2" x14ac:dyDescent="0.2">
      <c r="B66" s="1" t="s">
        <v>123</v>
      </c>
    </row>
    <row r="67" spans="2:2" x14ac:dyDescent="0.2">
      <c r="B67" s="1" t="s">
        <v>124</v>
      </c>
    </row>
    <row r="68" spans="2:2" x14ac:dyDescent="0.2">
      <c r="B68" s="1" t="s">
        <v>125</v>
      </c>
    </row>
    <row r="69" spans="2:2" x14ac:dyDescent="0.2">
      <c r="B69" s="1" t="s">
        <v>126</v>
      </c>
    </row>
    <row r="70" spans="2:2" x14ac:dyDescent="0.2">
      <c r="B70" s="1" t="s">
        <v>127</v>
      </c>
    </row>
    <row r="71" spans="2:2" x14ac:dyDescent="0.2">
      <c r="B71" s="1" t="s">
        <v>128</v>
      </c>
    </row>
    <row r="72" spans="2:2" x14ac:dyDescent="0.2">
      <c r="B72" s="1" t="s">
        <v>129</v>
      </c>
    </row>
    <row r="73" spans="2:2" x14ac:dyDescent="0.2">
      <c r="B73" s="1" t="s">
        <v>130</v>
      </c>
    </row>
    <row r="74" spans="2:2" x14ac:dyDescent="0.2">
      <c r="B74" s="1" t="s">
        <v>131</v>
      </c>
    </row>
    <row r="75" spans="2:2" x14ac:dyDescent="0.2">
      <c r="B75" s="1" t="s">
        <v>132</v>
      </c>
    </row>
    <row r="76" spans="2:2" x14ac:dyDescent="0.2">
      <c r="B76" s="1" t="s">
        <v>133</v>
      </c>
    </row>
    <row r="77" spans="2:2" x14ac:dyDescent="0.2">
      <c r="B77" s="1" t="s">
        <v>134</v>
      </c>
    </row>
    <row r="78" spans="2:2" x14ac:dyDescent="0.2">
      <c r="B78" s="1" t="s">
        <v>135</v>
      </c>
    </row>
    <row r="79" spans="2:2" x14ac:dyDescent="0.2">
      <c r="B79" s="1" t="s">
        <v>136</v>
      </c>
    </row>
    <row r="80" spans="2:2" x14ac:dyDescent="0.2">
      <c r="B80" s="1" t="s">
        <v>137</v>
      </c>
    </row>
    <row r="81" spans="2:2" x14ac:dyDescent="0.2">
      <c r="B81" s="1" t="s">
        <v>138</v>
      </c>
    </row>
    <row r="82" spans="2:2" x14ac:dyDescent="0.2">
      <c r="B82" s="1" t="s">
        <v>139</v>
      </c>
    </row>
    <row r="83" spans="2:2" x14ac:dyDescent="0.2">
      <c r="B83" s="1" t="s">
        <v>140</v>
      </c>
    </row>
    <row r="84" spans="2:2" x14ac:dyDescent="0.2">
      <c r="B84" s="1" t="s">
        <v>141</v>
      </c>
    </row>
    <row r="85" spans="2:2" x14ac:dyDescent="0.2">
      <c r="B85" s="1" t="s">
        <v>142</v>
      </c>
    </row>
    <row r="86" spans="2:2" x14ac:dyDescent="0.2">
      <c r="B86" s="1" t="s">
        <v>143</v>
      </c>
    </row>
    <row r="87" spans="2:2" x14ac:dyDescent="0.2">
      <c r="B87" s="1" t="s">
        <v>144</v>
      </c>
    </row>
    <row r="88" spans="2:2" x14ac:dyDescent="0.2">
      <c r="B88" s="1" t="s">
        <v>145</v>
      </c>
    </row>
    <row r="89" spans="2:2" x14ac:dyDescent="0.2">
      <c r="B89" s="1" t="s">
        <v>146</v>
      </c>
    </row>
    <row r="90" spans="2:2" x14ac:dyDescent="0.2">
      <c r="B90" s="1" t="s">
        <v>147</v>
      </c>
    </row>
    <row r="91" spans="2:2" x14ac:dyDescent="0.2">
      <c r="B91" s="1" t="s">
        <v>148</v>
      </c>
    </row>
    <row r="92" spans="2:2" x14ac:dyDescent="0.2">
      <c r="B92" s="1" t="s">
        <v>149</v>
      </c>
    </row>
    <row r="93" spans="2:2" x14ac:dyDescent="0.2">
      <c r="B93" s="1" t="s">
        <v>150</v>
      </c>
    </row>
    <row r="94" spans="2:2" x14ac:dyDescent="0.2">
      <c r="B94" s="1" t="s">
        <v>151</v>
      </c>
    </row>
    <row r="95" spans="2:2" x14ac:dyDescent="0.2">
      <c r="B95" s="1" t="s">
        <v>152</v>
      </c>
    </row>
    <row r="96" spans="2:2" x14ac:dyDescent="0.2">
      <c r="B96" s="1" t="s">
        <v>153</v>
      </c>
    </row>
    <row r="97" spans="2:2" x14ac:dyDescent="0.2">
      <c r="B97" s="1" t="s">
        <v>154</v>
      </c>
    </row>
    <row r="98" spans="2:2" x14ac:dyDescent="0.2">
      <c r="B98" s="1" t="s">
        <v>155</v>
      </c>
    </row>
    <row r="99" spans="2:2" x14ac:dyDescent="0.2">
      <c r="B99" s="1" t="s">
        <v>156</v>
      </c>
    </row>
    <row r="100" spans="2:2" x14ac:dyDescent="0.2">
      <c r="B100" s="1" t="s">
        <v>157</v>
      </c>
    </row>
    <row r="101" spans="2:2" x14ac:dyDescent="0.2">
      <c r="B101" s="1" t="s">
        <v>158</v>
      </c>
    </row>
    <row r="102" spans="2:2" x14ac:dyDescent="0.2">
      <c r="B102" s="1" t="s">
        <v>159</v>
      </c>
    </row>
    <row r="103" spans="2:2" x14ac:dyDescent="0.2">
      <c r="B103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2019-10-28T16:41:53Z</dcterms:modified>
</cp:coreProperties>
</file>