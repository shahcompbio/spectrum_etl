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E7028501-C433-304F-97ED-8A6FB1E62358}" xr6:coauthVersionLast="45" xr6:coauthVersionMax="45" xr10:uidLastSave="{00000000-0000-0000-0000-000000000000}"/>
  <bookViews>
    <workbookView xWindow="246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F26" i="3" l="1"/>
  <c r="AF26" i="3"/>
  <c r="AI26" i="3" s="1"/>
  <c r="P26" i="3"/>
  <c r="J26" i="3"/>
  <c r="F26" i="3"/>
  <c r="A26" i="3"/>
  <c r="AG26" i="3" l="1"/>
  <c r="J6" i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F92" i="3" l="1"/>
  <c r="AF92" i="3"/>
  <c r="AI92" i="3" s="1"/>
  <c r="W92" i="3"/>
  <c r="P92" i="3"/>
  <c r="M92" i="3"/>
  <c r="J92" i="3"/>
  <c r="F92" i="3"/>
  <c r="A92" i="3"/>
  <c r="BF91" i="3"/>
  <c r="AF91" i="3"/>
  <c r="AI91" i="3" s="1"/>
  <c r="W91" i="3"/>
  <c r="P91" i="3"/>
  <c r="M91" i="3"/>
  <c r="J91" i="3"/>
  <c r="F91" i="3"/>
  <c r="A91" i="3"/>
  <c r="BF90" i="3"/>
  <c r="AF90" i="3"/>
  <c r="AI90" i="3" s="1"/>
  <c r="W90" i="3"/>
  <c r="P90" i="3"/>
  <c r="M90" i="3"/>
  <c r="J90" i="3"/>
  <c r="F90" i="3"/>
  <c r="A90" i="3"/>
  <c r="BF89" i="3"/>
  <c r="AF89" i="3"/>
  <c r="AI89" i="3" s="1"/>
  <c r="W89" i="3"/>
  <c r="P89" i="3"/>
  <c r="M89" i="3"/>
  <c r="J89" i="3"/>
  <c r="F89" i="3"/>
  <c r="A89" i="3"/>
  <c r="BF88" i="3"/>
  <c r="AF88" i="3"/>
  <c r="AI88" i="3" s="1"/>
  <c r="W88" i="3"/>
  <c r="P88" i="3"/>
  <c r="M88" i="3"/>
  <c r="J88" i="3"/>
  <c r="F88" i="3"/>
  <c r="A88" i="3"/>
  <c r="BF87" i="3"/>
  <c r="AF87" i="3"/>
  <c r="AI87" i="3" s="1"/>
  <c r="W87" i="3"/>
  <c r="P87" i="3"/>
  <c r="M87" i="3"/>
  <c r="J87" i="3"/>
  <c r="F87" i="3"/>
  <c r="A87" i="3"/>
  <c r="BF86" i="3"/>
  <c r="AF86" i="3"/>
  <c r="AI86" i="3" s="1"/>
  <c r="W86" i="3"/>
  <c r="P86" i="3"/>
  <c r="M86" i="3"/>
  <c r="J86" i="3"/>
  <c r="F86" i="3"/>
  <c r="A86" i="3"/>
  <c r="BF85" i="3"/>
  <c r="AF85" i="3"/>
  <c r="AI85" i="3" s="1"/>
  <c r="W85" i="3"/>
  <c r="P85" i="3"/>
  <c r="M85" i="3"/>
  <c r="J85" i="3"/>
  <c r="F85" i="3"/>
  <c r="A85" i="3"/>
  <c r="BF84" i="3"/>
  <c r="AF84" i="3"/>
  <c r="AI84" i="3" s="1"/>
  <c r="W84" i="3"/>
  <c r="P84" i="3"/>
  <c r="M84" i="3"/>
  <c r="J84" i="3"/>
  <c r="F84" i="3"/>
  <c r="A84" i="3"/>
  <c r="BF83" i="3"/>
  <c r="AF83" i="3"/>
  <c r="AI83" i="3" s="1"/>
  <c r="W83" i="3"/>
  <c r="P83" i="3"/>
  <c r="M83" i="3"/>
  <c r="J83" i="3"/>
  <c r="F83" i="3"/>
  <c r="A83" i="3"/>
  <c r="BF82" i="3"/>
  <c r="AF82" i="3"/>
  <c r="AI82" i="3" s="1"/>
  <c r="W82" i="3"/>
  <c r="P82" i="3"/>
  <c r="M82" i="3"/>
  <c r="J82" i="3"/>
  <c r="F82" i="3"/>
  <c r="A82" i="3"/>
  <c r="BF81" i="3"/>
  <c r="AF81" i="3"/>
  <c r="AI81" i="3" s="1"/>
  <c r="W81" i="3"/>
  <c r="P81" i="3"/>
  <c r="M81" i="3"/>
  <c r="J81" i="3"/>
  <c r="F81" i="3"/>
  <c r="A81" i="3"/>
  <c r="BF80" i="3"/>
  <c r="AF80" i="3"/>
  <c r="AI80" i="3" s="1"/>
  <c r="W80" i="3"/>
  <c r="P80" i="3"/>
  <c r="M80" i="3"/>
  <c r="J80" i="3"/>
  <c r="F80" i="3"/>
  <c r="A80" i="3"/>
  <c r="BF79" i="3"/>
  <c r="AF79" i="3"/>
  <c r="AI79" i="3" s="1"/>
  <c r="W79" i="3"/>
  <c r="P79" i="3"/>
  <c r="M79" i="3"/>
  <c r="J79" i="3"/>
  <c r="F79" i="3"/>
  <c r="A79" i="3"/>
  <c r="BF78" i="3"/>
  <c r="AF78" i="3"/>
  <c r="AI78" i="3" s="1"/>
  <c r="W78" i="3"/>
  <c r="P78" i="3"/>
  <c r="M78" i="3"/>
  <c r="J78" i="3"/>
  <c r="F78" i="3"/>
  <c r="A78" i="3"/>
  <c r="BF77" i="3"/>
  <c r="AF77" i="3"/>
  <c r="AI77" i="3" s="1"/>
  <c r="W77" i="3"/>
  <c r="P77" i="3"/>
  <c r="M77" i="3"/>
  <c r="J77" i="3"/>
  <c r="F77" i="3"/>
  <c r="A77" i="3"/>
  <c r="BF76" i="3"/>
  <c r="AF76" i="3"/>
  <c r="AI76" i="3" s="1"/>
  <c r="W76" i="3"/>
  <c r="P76" i="3"/>
  <c r="M76" i="3"/>
  <c r="J76" i="3"/>
  <c r="F76" i="3"/>
  <c r="A76" i="3"/>
  <c r="BF75" i="3"/>
  <c r="AF75" i="3"/>
  <c r="AI75" i="3" s="1"/>
  <c r="W75" i="3"/>
  <c r="P75" i="3"/>
  <c r="M75" i="3"/>
  <c r="J75" i="3"/>
  <c r="F75" i="3"/>
  <c r="A75" i="3"/>
  <c r="BF74" i="3"/>
  <c r="AF74" i="3"/>
  <c r="AI74" i="3" s="1"/>
  <c r="W74" i="3"/>
  <c r="P74" i="3"/>
  <c r="M74" i="3"/>
  <c r="J74" i="3"/>
  <c r="F74" i="3"/>
  <c r="A74" i="3"/>
  <c r="BF73" i="3"/>
  <c r="AF73" i="3"/>
  <c r="AI73" i="3" s="1"/>
  <c r="W73" i="3"/>
  <c r="P73" i="3"/>
  <c r="M73" i="3"/>
  <c r="J73" i="3"/>
  <c r="F73" i="3"/>
  <c r="A73" i="3"/>
  <c r="BF72" i="3"/>
  <c r="AF72" i="3"/>
  <c r="AI72" i="3" s="1"/>
  <c r="W72" i="3"/>
  <c r="P72" i="3"/>
  <c r="M72" i="3"/>
  <c r="J72" i="3"/>
  <c r="F72" i="3"/>
  <c r="A72" i="3"/>
  <c r="BF71" i="3"/>
  <c r="AF71" i="3"/>
  <c r="AI71" i="3" s="1"/>
  <c r="W71" i="3"/>
  <c r="P71" i="3"/>
  <c r="M71" i="3"/>
  <c r="J71" i="3"/>
  <c r="F71" i="3"/>
  <c r="A71" i="3"/>
  <c r="BF70" i="3"/>
  <c r="AF70" i="3"/>
  <c r="AI70" i="3" s="1"/>
  <c r="W70" i="3"/>
  <c r="P70" i="3"/>
  <c r="M70" i="3"/>
  <c r="J70" i="3"/>
  <c r="F70" i="3"/>
  <c r="A70" i="3"/>
  <c r="BF69" i="3"/>
  <c r="AF69" i="3"/>
  <c r="AI69" i="3" s="1"/>
  <c r="W69" i="3"/>
  <c r="P69" i="3"/>
  <c r="M69" i="3"/>
  <c r="J69" i="3"/>
  <c r="F69" i="3"/>
  <c r="A69" i="3"/>
  <c r="BF68" i="3"/>
  <c r="AF68" i="3"/>
  <c r="AI68" i="3" s="1"/>
  <c r="W68" i="3"/>
  <c r="P68" i="3"/>
  <c r="M68" i="3"/>
  <c r="J68" i="3"/>
  <c r="F68" i="3"/>
  <c r="A68" i="3"/>
  <c r="BF67" i="3"/>
  <c r="AF67" i="3"/>
  <c r="AI67" i="3" s="1"/>
  <c r="W67" i="3"/>
  <c r="P67" i="3"/>
  <c r="M67" i="3"/>
  <c r="J67" i="3"/>
  <c r="F67" i="3"/>
  <c r="A67" i="3"/>
  <c r="BF66" i="3"/>
  <c r="AF66" i="3"/>
  <c r="AI66" i="3" s="1"/>
  <c r="W66" i="3"/>
  <c r="P66" i="3"/>
  <c r="M66" i="3"/>
  <c r="J66" i="3"/>
  <c r="F66" i="3"/>
  <c r="A66" i="3"/>
  <c r="BF65" i="3"/>
  <c r="AF65" i="3"/>
  <c r="AI65" i="3" s="1"/>
  <c r="W65" i="3"/>
  <c r="P65" i="3"/>
  <c r="M65" i="3"/>
  <c r="J65" i="3"/>
  <c r="F65" i="3"/>
  <c r="A65" i="3"/>
  <c r="BF64" i="3"/>
  <c r="AF64" i="3"/>
  <c r="AI64" i="3" s="1"/>
  <c r="W64" i="3"/>
  <c r="P64" i="3"/>
  <c r="M64" i="3"/>
  <c r="J64" i="3"/>
  <c r="F64" i="3"/>
  <c r="A64" i="3"/>
  <c r="BF63" i="3"/>
  <c r="AF63" i="3"/>
  <c r="AI63" i="3" s="1"/>
  <c r="W63" i="3"/>
  <c r="P63" i="3"/>
  <c r="M63" i="3"/>
  <c r="J63" i="3"/>
  <c r="F63" i="3"/>
  <c r="A63" i="3"/>
  <c r="BF62" i="3"/>
  <c r="AF62" i="3"/>
  <c r="AI62" i="3" s="1"/>
  <c r="W62" i="3"/>
  <c r="P62" i="3"/>
  <c r="M62" i="3"/>
  <c r="J62" i="3"/>
  <c r="F62" i="3"/>
  <c r="A62" i="3"/>
  <c r="BF61" i="3"/>
  <c r="AF61" i="3"/>
  <c r="AI61" i="3" s="1"/>
  <c r="W61" i="3"/>
  <c r="P61" i="3"/>
  <c r="M61" i="3"/>
  <c r="J61" i="3"/>
  <c r="F61" i="3"/>
  <c r="A61" i="3"/>
  <c r="BF60" i="3"/>
  <c r="AF60" i="3"/>
  <c r="W60" i="3"/>
  <c r="P60" i="3"/>
  <c r="M60" i="3"/>
  <c r="J60" i="3"/>
  <c r="F60" i="3"/>
  <c r="A60" i="3"/>
  <c r="BF59" i="3"/>
  <c r="AF59" i="3"/>
  <c r="AI59" i="3" s="1"/>
  <c r="W59" i="3"/>
  <c r="P59" i="3"/>
  <c r="M59" i="3"/>
  <c r="J59" i="3"/>
  <c r="F59" i="3"/>
  <c r="A59" i="3"/>
  <c r="BF58" i="3"/>
  <c r="AF58" i="3"/>
  <c r="W58" i="3"/>
  <c r="P58" i="3"/>
  <c r="M58" i="3"/>
  <c r="J58" i="3"/>
  <c r="F58" i="3"/>
  <c r="A58" i="3"/>
  <c r="BF57" i="3"/>
  <c r="AF57" i="3"/>
  <c r="AI57" i="3" s="1"/>
  <c r="W57" i="3"/>
  <c r="P57" i="3"/>
  <c r="M57" i="3"/>
  <c r="J57" i="3"/>
  <c r="F57" i="3"/>
  <c r="A57" i="3"/>
  <c r="BF56" i="3"/>
  <c r="AF56" i="3"/>
  <c r="W56" i="3"/>
  <c r="P56" i="3"/>
  <c r="M56" i="3"/>
  <c r="J56" i="3"/>
  <c r="F56" i="3"/>
  <c r="A56" i="3"/>
  <c r="BF55" i="3"/>
  <c r="AF55" i="3"/>
  <c r="AI55" i="3" s="1"/>
  <c r="W55" i="3"/>
  <c r="P55" i="3"/>
  <c r="M55" i="3"/>
  <c r="J55" i="3"/>
  <c r="F55" i="3"/>
  <c r="A55" i="3"/>
  <c r="BF54" i="3"/>
  <c r="AF54" i="3"/>
  <c r="W54" i="3"/>
  <c r="P54" i="3"/>
  <c r="M54" i="3"/>
  <c r="J54" i="3"/>
  <c r="F54" i="3"/>
  <c r="A54" i="3"/>
  <c r="BF53" i="3"/>
  <c r="AF53" i="3"/>
  <c r="AI53" i="3" s="1"/>
  <c r="W53" i="3"/>
  <c r="P53" i="3"/>
  <c r="M53" i="3"/>
  <c r="J53" i="3"/>
  <c r="F53" i="3"/>
  <c r="A53" i="3"/>
  <c r="BF52" i="3"/>
  <c r="AF52" i="3"/>
  <c r="W52" i="3"/>
  <c r="P52" i="3"/>
  <c r="M52" i="3"/>
  <c r="J52" i="3"/>
  <c r="F52" i="3"/>
  <c r="A52" i="3"/>
  <c r="BF51" i="3"/>
  <c r="AF51" i="3"/>
  <c r="AI51" i="3" s="1"/>
  <c r="W51" i="3"/>
  <c r="P51" i="3"/>
  <c r="M51" i="3"/>
  <c r="J51" i="3"/>
  <c r="F51" i="3"/>
  <c r="A51" i="3"/>
  <c r="BF50" i="3"/>
  <c r="AF50" i="3"/>
  <c r="W50" i="3"/>
  <c r="P50" i="3"/>
  <c r="M50" i="3"/>
  <c r="J50" i="3"/>
  <c r="F50" i="3"/>
  <c r="A50" i="3"/>
  <c r="BF49" i="3"/>
  <c r="AF49" i="3"/>
  <c r="AI49" i="3" s="1"/>
  <c r="W49" i="3"/>
  <c r="P49" i="3"/>
  <c r="M49" i="3"/>
  <c r="J49" i="3"/>
  <c r="F49" i="3"/>
  <c r="A49" i="3"/>
  <c r="BF48" i="3"/>
  <c r="AF48" i="3"/>
  <c r="W48" i="3"/>
  <c r="P48" i="3"/>
  <c r="M48" i="3"/>
  <c r="J48" i="3"/>
  <c r="F48" i="3"/>
  <c r="A48" i="3"/>
  <c r="BF47" i="3"/>
  <c r="AF47" i="3"/>
  <c r="AI47" i="3" s="1"/>
  <c r="W47" i="3"/>
  <c r="P47" i="3"/>
  <c r="M47" i="3"/>
  <c r="J47" i="3"/>
  <c r="F47" i="3"/>
  <c r="A47" i="3"/>
  <c r="BF46" i="3"/>
  <c r="AF46" i="3"/>
  <c r="W46" i="3"/>
  <c r="P46" i="3"/>
  <c r="M46" i="3"/>
  <c r="J46" i="3"/>
  <c r="F46" i="3"/>
  <c r="A46" i="3"/>
  <c r="BF45" i="3"/>
  <c r="AF45" i="3"/>
  <c r="AI45" i="3" s="1"/>
  <c r="W45" i="3"/>
  <c r="P45" i="3"/>
  <c r="M45" i="3"/>
  <c r="J45" i="3"/>
  <c r="F45" i="3"/>
  <c r="A45" i="3"/>
  <c r="BF44" i="3"/>
  <c r="AF44" i="3"/>
  <c r="W44" i="3"/>
  <c r="P44" i="3"/>
  <c r="M44" i="3"/>
  <c r="J44" i="3"/>
  <c r="F44" i="3"/>
  <c r="A44" i="3"/>
  <c r="BF43" i="3"/>
  <c r="AF43" i="3"/>
  <c r="AI43" i="3" s="1"/>
  <c r="W43" i="3"/>
  <c r="P43" i="3"/>
  <c r="M43" i="3"/>
  <c r="J43" i="3"/>
  <c r="F43" i="3"/>
  <c r="A43" i="3"/>
  <c r="BF42" i="3"/>
  <c r="AF42" i="3"/>
  <c r="W42" i="3"/>
  <c r="P42" i="3"/>
  <c r="M42" i="3"/>
  <c r="J42" i="3"/>
  <c r="F42" i="3"/>
  <c r="A42" i="3"/>
  <c r="BF41" i="3"/>
  <c r="AF41" i="3"/>
  <c r="AI41" i="3" s="1"/>
  <c r="W41" i="3"/>
  <c r="P41" i="3"/>
  <c r="M41" i="3"/>
  <c r="J41" i="3"/>
  <c r="F41" i="3"/>
  <c r="A41" i="3"/>
  <c r="BF40" i="3"/>
  <c r="AF40" i="3"/>
  <c r="AI40" i="3" s="1"/>
  <c r="W40" i="3"/>
  <c r="P40" i="3"/>
  <c r="M40" i="3"/>
  <c r="J40" i="3"/>
  <c r="F40" i="3"/>
  <c r="A40" i="3"/>
  <c r="BF39" i="3"/>
  <c r="AF39" i="3"/>
  <c r="AI39" i="3" s="1"/>
  <c r="W39" i="3"/>
  <c r="P39" i="3"/>
  <c r="M39" i="3"/>
  <c r="J39" i="3"/>
  <c r="F39" i="3"/>
  <c r="A39" i="3"/>
  <c r="BF38" i="3"/>
  <c r="AF38" i="3"/>
  <c r="AI38" i="3" s="1"/>
  <c r="W38" i="3"/>
  <c r="P38" i="3"/>
  <c r="M38" i="3"/>
  <c r="J38" i="3"/>
  <c r="F38" i="3"/>
  <c r="A38" i="3"/>
  <c r="BF37" i="3"/>
  <c r="AF37" i="3"/>
  <c r="AI37" i="3" s="1"/>
  <c r="W37" i="3"/>
  <c r="P37" i="3"/>
  <c r="M37" i="3"/>
  <c r="J37" i="3"/>
  <c r="F37" i="3"/>
  <c r="A37" i="3"/>
  <c r="BF36" i="3"/>
  <c r="AF36" i="3"/>
  <c r="AI36" i="3" s="1"/>
  <c r="W36" i="3"/>
  <c r="P36" i="3"/>
  <c r="M36" i="3"/>
  <c r="J36" i="3"/>
  <c r="F36" i="3"/>
  <c r="A36" i="3"/>
  <c r="BF35" i="3"/>
  <c r="AF35" i="3"/>
  <c r="AI35" i="3" s="1"/>
  <c r="W35" i="3"/>
  <c r="P35" i="3"/>
  <c r="M35" i="3"/>
  <c r="J35" i="3"/>
  <c r="F35" i="3"/>
  <c r="A35" i="3"/>
  <c r="BF34" i="3"/>
  <c r="AF34" i="3"/>
  <c r="AI34" i="3" s="1"/>
  <c r="W34" i="3"/>
  <c r="P34" i="3"/>
  <c r="M34" i="3"/>
  <c r="J34" i="3"/>
  <c r="F34" i="3"/>
  <c r="A34" i="3"/>
  <c r="BF33" i="3"/>
  <c r="AF33" i="3"/>
  <c r="AI33" i="3" s="1"/>
  <c r="W33" i="3"/>
  <c r="P33" i="3"/>
  <c r="M33" i="3"/>
  <c r="J33" i="3"/>
  <c r="F33" i="3"/>
  <c r="A33" i="3"/>
  <c r="BF32" i="3"/>
  <c r="AF32" i="3"/>
  <c r="AI32" i="3" s="1"/>
  <c r="W32" i="3"/>
  <c r="P32" i="3"/>
  <c r="M32" i="3"/>
  <c r="J32" i="3"/>
  <c r="F32" i="3"/>
  <c r="A32" i="3"/>
  <c r="BF31" i="3"/>
  <c r="AF31" i="3"/>
  <c r="AI31" i="3" s="1"/>
  <c r="W31" i="3"/>
  <c r="P31" i="3"/>
  <c r="M31" i="3"/>
  <c r="J31" i="3"/>
  <c r="F31" i="3"/>
  <c r="A31" i="3"/>
  <c r="BF30" i="3"/>
  <c r="AF30" i="3"/>
  <c r="AI30" i="3" s="1"/>
  <c r="P30" i="3"/>
  <c r="J30" i="3"/>
  <c r="F30" i="3"/>
  <c r="A30" i="3"/>
  <c r="BF29" i="3"/>
  <c r="AF29" i="3"/>
  <c r="AI29" i="3" s="1"/>
  <c r="P29" i="3"/>
  <c r="J29" i="3"/>
  <c r="F29" i="3"/>
  <c r="A29" i="3"/>
  <c r="BF28" i="3"/>
  <c r="AF28" i="3"/>
  <c r="AI28" i="3" s="1"/>
  <c r="P28" i="3"/>
  <c r="J28" i="3"/>
  <c r="F28" i="3"/>
  <c r="A28" i="3"/>
  <c r="BF27" i="3"/>
  <c r="AF27" i="3"/>
  <c r="AI27" i="3" s="1"/>
  <c r="P27" i="3"/>
  <c r="J27" i="3"/>
  <c r="F27" i="3"/>
  <c r="A27" i="3"/>
  <c r="BF25" i="3"/>
  <c r="AF25" i="3"/>
  <c r="AI25" i="3" s="1"/>
  <c r="P25" i="3"/>
  <c r="J25" i="3"/>
  <c r="F25" i="3"/>
  <c r="A25" i="3"/>
  <c r="BF24" i="3"/>
  <c r="AF24" i="3"/>
  <c r="AI24" i="3" s="1"/>
  <c r="P24" i="3"/>
  <c r="J24" i="3"/>
  <c r="F24" i="3"/>
  <c r="A24" i="3"/>
  <c r="BF23" i="3"/>
  <c r="AF23" i="3"/>
  <c r="AI23" i="3" s="1"/>
  <c r="P23" i="3"/>
  <c r="J23" i="3"/>
  <c r="F23" i="3"/>
  <c r="A23" i="3"/>
  <c r="BF22" i="3"/>
  <c r="AF22" i="3"/>
  <c r="AI22" i="3" s="1"/>
  <c r="P22" i="3"/>
  <c r="J22" i="3"/>
  <c r="F22" i="3"/>
  <c r="A22" i="3"/>
  <c r="BF21" i="3"/>
  <c r="AF21" i="3"/>
  <c r="AI21" i="3" s="1"/>
  <c r="P21" i="3"/>
  <c r="J21" i="3"/>
  <c r="F21" i="3"/>
  <c r="A21" i="3"/>
  <c r="BF20" i="3"/>
  <c r="AF20" i="3"/>
  <c r="AI20" i="3" s="1"/>
  <c r="P20" i="3"/>
  <c r="J20" i="3"/>
  <c r="F20" i="3"/>
  <c r="A20" i="3"/>
  <c r="BF19" i="3"/>
  <c r="AF19" i="3"/>
  <c r="AI19" i="3" s="1"/>
  <c r="P19" i="3"/>
  <c r="J19" i="3"/>
  <c r="F19" i="3"/>
  <c r="A19" i="3"/>
  <c r="BF18" i="3"/>
  <c r="AF18" i="3"/>
  <c r="AI18" i="3" s="1"/>
  <c r="P18" i="3"/>
  <c r="J18" i="3"/>
  <c r="F18" i="3"/>
  <c r="A18" i="3"/>
  <c r="BF17" i="3"/>
  <c r="AF17" i="3"/>
  <c r="AI17" i="3" s="1"/>
  <c r="P17" i="3"/>
  <c r="J17" i="3"/>
  <c r="F17" i="3"/>
  <c r="A17" i="3"/>
  <c r="BF16" i="3"/>
  <c r="AF16" i="3"/>
  <c r="AI16" i="3" s="1"/>
  <c r="P16" i="3"/>
  <c r="J16" i="3"/>
  <c r="F16" i="3"/>
  <c r="A16" i="3"/>
  <c r="BF15" i="3"/>
  <c r="AF15" i="3"/>
  <c r="AI15" i="3" s="1"/>
  <c r="P15" i="3"/>
  <c r="J15" i="3"/>
  <c r="F15" i="3"/>
  <c r="A15" i="3"/>
  <c r="BF14" i="3"/>
  <c r="AF14" i="3"/>
  <c r="AI14" i="3" s="1"/>
  <c r="P14" i="3"/>
  <c r="J14" i="3"/>
  <c r="F14" i="3"/>
  <c r="A14" i="3"/>
  <c r="BF13" i="3"/>
  <c r="AF13" i="3"/>
  <c r="AI13" i="3" s="1"/>
  <c r="P13" i="3"/>
  <c r="J13" i="3"/>
  <c r="F13" i="3"/>
  <c r="A13" i="3"/>
  <c r="BF12" i="3"/>
  <c r="AF12" i="3"/>
  <c r="AI12" i="3" s="1"/>
  <c r="P12" i="3"/>
  <c r="J12" i="3"/>
  <c r="F12" i="3"/>
  <c r="A12" i="3"/>
  <c r="BF11" i="3"/>
  <c r="AF11" i="3"/>
  <c r="AI11" i="3" s="1"/>
  <c r="P11" i="3"/>
  <c r="J11" i="3"/>
  <c r="F11" i="3"/>
  <c r="A11" i="3"/>
  <c r="BF10" i="3"/>
  <c r="AF10" i="3"/>
  <c r="AI10" i="3" s="1"/>
  <c r="P10" i="3"/>
  <c r="J10" i="3"/>
  <c r="F10" i="3"/>
  <c r="A10" i="3"/>
  <c r="BF9" i="3"/>
  <c r="AF9" i="3"/>
  <c r="AI9" i="3" s="1"/>
  <c r="P9" i="3"/>
  <c r="J9" i="3"/>
  <c r="F9" i="3"/>
  <c r="A9" i="3"/>
  <c r="BF8" i="3"/>
  <c r="AF8" i="3"/>
  <c r="AI8" i="3" s="1"/>
  <c r="P8" i="3"/>
  <c r="J8" i="3"/>
  <c r="F8" i="3"/>
  <c r="A8" i="3"/>
  <c r="BF7" i="3"/>
  <c r="AF7" i="3"/>
  <c r="AI7" i="3" s="1"/>
  <c r="P7" i="3"/>
  <c r="J7" i="3"/>
  <c r="F7" i="3"/>
  <c r="A7" i="3"/>
  <c r="BF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<sst xmlns="http://schemas.openxmlformats.org/spreadsheetml/2006/main" count="458" uniqueCount="303">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</sst>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139"/>
  <sheetViews>
    <sheetView tabSelected="1" topLeftCell="J1" zoomScaleNormal="100" workbookViewId="0">
      <pane ySplit="4" topLeftCell="A6" activePane="bottomLeft" state="frozen"/>
      <selection activeCell="P1" sqref="P1"/>
      <selection pane="bottomLeft" activeCell="T12" sqref="T12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16.6640625" style="57" hidden="1" customWidth="1"/>
    <col min="69" max="69" width="15.1640625" style="2" hidden="1" customWidth="1"/>
    <col min="70" max="70" width="18.5" style="2" hidden="1" customWidth="1"/>
    <col min="71" max="71" width="21.5" style="2" hidden="1" customWidth="1"/>
    <col min="72" max="72" width="22.6640625" style="2" hidden="1" customWidth="1"/>
    <col min="73" max="73" width="10.83203125" style="2" hidden="1" customWidth="1"/>
    <col min="74" max="74" width="20.6640625" style="2" hidden="1" customWidth="1"/>
    <col min="75" max="75" width="22.33203125" style="2" hidden="1" customWidth="1"/>
    <col min="76" max="76" width="21.83203125" style="2" hidden="1" customWidth="1"/>
    <col min="77" max="77" width="28.1640625" style="2" hidden="1" customWidth="1"/>
    <col min="78" max="78" width="28.83203125" style="2" hidden="1" customWidth="1"/>
    <col min="79" max="79" width="15.5" style="2" hidden="1" customWidth="1"/>
    <col min="80" max="80" width="25.1640625" style="2" hidden="1" customWidth="1"/>
    <col min="81" max="81" width="25.83203125" style="2" hidden="1" customWidth="1"/>
    <col min="82" max="82" width="10.83203125" style="2" hidden="1" customWidth="1"/>
    <col min="83" max="83" width="12" style="2" hidden="1" customWidth="1"/>
    <col min="84" max="84" width="27.5" style="2" hidden="1" customWidth="1"/>
    <col min="85" max="85" width="22.33203125" style="2" hidden="1" customWidth="1"/>
    <col min="86" max="16384" width="10.83203125" style="2"/>
  </cols>
  <sheetData>
    <row r="1" spans="1:85" ht="18" thickTop="1" thickBot="1" x14ac:dyDescent="0.25">
      <c r="J1" s="20" t="s">
        <v>228</v>
      </c>
      <c r="K1" s="21" t="s">
        <v>229</v>
      </c>
      <c r="L1" s="22" t="s">
        <v>230</v>
      </c>
    </row>
    <row r="2" spans="1:85" ht="17" thickTop="1" x14ac:dyDescent="0.2"/>
    <row r="3" spans="1:85" s="6" customFormat="1" x14ac:dyDescent="0.2">
      <c r="A3" s="59" t="s">
        <v>37</v>
      </c>
      <c r="B3" s="59"/>
      <c r="C3" s="59"/>
      <c r="D3" s="59"/>
      <c r="E3" s="59"/>
      <c r="F3" s="59" t="s">
        <v>38</v>
      </c>
      <c r="G3" s="59"/>
      <c r="H3" s="59"/>
      <c r="I3" s="59"/>
      <c r="J3" s="59"/>
      <c r="K3" s="59"/>
      <c r="L3" s="13" t="s">
        <v>39</v>
      </c>
      <c r="M3" s="59" t="s">
        <v>40</v>
      </c>
      <c r="N3" s="59"/>
      <c r="O3" s="7"/>
      <c r="P3" s="59" t="s">
        <v>41</v>
      </c>
      <c r="Q3" s="59"/>
      <c r="R3" s="59"/>
      <c r="S3" s="59"/>
      <c r="T3" s="59"/>
      <c r="U3" s="59" t="s">
        <v>42</v>
      </c>
      <c r="V3" s="59"/>
      <c r="W3" s="59"/>
      <c r="X3" s="59"/>
      <c r="Y3" s="59"/>
      <c r="Z3" s="6" t="s">
        <v>43</v>
      </c>
      <c r="AA3" s="59" t="s">
        <v>44</v>
      </c>
      <c r="AB3" s="59"/>
      <c r="AC3" s="59"/>
      <c r="AD3" s="59" t="s">
        <v>253</v>
      </c>
      <c r="AE3" s="60"/>
      <c r="AF3" s="59" t="s">
        <v>254</v>
      </c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59" t="s">
        <v>45</v>
      </c>
      <c r="AR3" s="59"/>
      <c r="AS3" s="59"/>
      <c r="AT3" s="59"/>
      <c r="AU3" s="59"/>
      <c r="AV3" s="59" t="s">
        <v>46</v>
      </c>
      <c r="AW3" s="59"/>
      <c r="AX3" s="28"/>
      <c r="AY3" s="59" t="s">
        <v>255</v>
      </c>
      <c r="AZ3" s="59"/>
      <c r="BA3" s="59" t="s">
        <v>47</v>
      </c>
      <c r="BB3" s="59"/>
      <c r="BC3" s="59" t="s">
        <v>48</v>
      </c>
      <c r="BD3" s="59"/>
      <c r="BE3" s="59" t="s">
        <v>207</v>
      </c>
      <c r="BF3" s="60"/>
      <c r="BG3" s="60"/>
      <c r="BH3" s="60"/>
      <c r="BI3" s="60"/>
      <c r="BJ3" s="60"/>
      <c r="BK3" s="60"/>
      <c r="BL3" s="60"/>
      <c r="BM3" s="60"/>
      <c r="BN3" s="59" t="s">
        <v>49</v>
      </c>
      <c r="BO3" s="59"/>
      <c r="BP3" s="59"/>
      <c r="BQ3" s="59"/>
      <c r="BR3" s="6" t="s">
        <v>256</v>
      </c>
      <c r="BS3" s="59" t="s">
        <v>259</v>
      </c>
      <c r="BT3" s="60"/>
      <c r="BU3" s="59" t="s">
        <v>264</v>
      </c>
      <c r="BV3" s="60"/>
      <c r="BW3" s="60"/>
      <c r="BX3" s="60"/>
      <c r="BY3" s="60"/>
      <c r="BZ3" s="60"/>
      <c r="CA3" s="59" t="s">
        <v>267</v>
      </c>
      <c r="CB3" s="59"/>
      <c r="CC3" s="59" t="s">
        <v>296</v>
      </c>
      <c r="CD3" s="59"/>
      <c r="CE3" s="59"/>
      <c r="CF3" s="59"/>
      <c r="CG3" s="6" t="s">
        <v>300</v>
      </c>
    </row>
    <row r="4" spans="1:85" s="5" customFormat="1" x14ac:dyDescent="0.2">
      <c r="A4" s="5" t="s">
        <v>1</v>
      </c>
      <c r="B4" s="5" t="s">
        <v>205</v>
      </c>
      <c r="C4" s="5" t="s">
        <v>206</v>
      </c>
      <c r="D4" s="19" t="s">
        <v>0</v>
      </c>
      <c r="E4" s="19" t="s">
        <v>226</v>
      </c>
      <c r="F4" s="5" t="s">
        <v>2</v>
      </c>
      <c r="G4" s="19" t="s">
        <v>3</v>
      </c>
      <c r="H4" s="19" t="s">
        <v>257</v>
      </c>
      <c r="I4" s="19" t="s">
        <v>4</v>
      </c>
      <c r="J4" s="5" t="s">
        <v>5</v>
      </c>
      <c r="K4" s="19" t="s">
        <v>204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223</v>
      </c>
      <c r="AG4" s="5" t="s">
        <v>222</v>
      </c>
      <c r="AH4" s="5" t="s">
        <v>234</v>
      </c>
      <c r="AI4" s="5" t="s">
        <v>27</v>
      </c>
      <c r="AJ4" s="5" t="s">
        <v>221</v>
      </c>
      <c r="AK4" s="5" t="s">
        <v>220</v>
      </c>
      <c r="AL4" s="5" t="s">
        <v>219</v>
      </c>
      <c r="AM4" s="5" t="s">
        <v>218</v>
      </c>
      <c r="AN4" s="5" t="s">
        <v>217</v>
      </c>
      <c r="AO4" s="5" t="s">
        <v>216</v>
      </c>
      <c r="AP4" s="5" t="s">
        <v>29</v>
      </c>
      <c r="AQ4" s="5" t="s">
        <v>281</v>
      </c>
      <c r="AR4" s="5" t="s">
        <v>280</v>
      </c>
      <c r="AS4" s="5" t="s">
        <v>279</v>
      </c>
      <c r="AT4" s="5" t="s">
        <v>30</v>
      </c>
      <c r="AU4" s="5" t="s">
        <v>224</v>
      </c>
      <c r="AV4" s="5" t="s">
        <v>31</v>
      </c>
      <c r="AW4" s="5" t="s">
        <v>32</v>
      </c>
      <c r="AX4" s="5" t="s">
        <v>250</v>
      </c>
      <c r="AY4" s="5" t="s">
        <v>249</v>
      </c>
      <c r="AZ4" s="53" t="s">
        <v>283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208</v>
      </c>
      <c r="BF4" s="5" t="s">
        <v>215</v>
      </c>
      <c r="BG4" s="5" t="s">
        <v>214</v>
      </c>
      <c r="BH4" s="5" t="s">
        <v>213</v>
      </c>
      <c r="BI4" s="5" t="s">
        <v>212</v>
      </c>
      <c r="BJ4" s="5" t="s">
        <v>268</v>
      </c>
      <c r="BK4" s="5" t="s">
        <v>211</v>
      </c>
      <c r="BL4" s="5" t="s">
        <v>210</v>
      </c>
      <c r="BM4" s="5" t="s">
        <v>209</v>
      </c>
      <c r="BN4" s="5" t="s">
        <v>295</v>
      </c>
      <c r="BO4" s="5" t="s">
        <v>292</v>
      </c>
      <c r="BP4" s="5" t="s">
        <v>293</v>
      </c>
      <c r="BQ4" s="5" t="s">
        <v>291</v>
      </c>
      <c r="BR4" s="5" t="s">
        <v>248</v>
      </c>
      <c r="BS4" s="5" t="s">
        <v>244</v>
      </c>
      <c r="BT4" s="5" t="s">
        <v>245</v>
      </c>
      <c r="BU4" s="5" t="s">
        <v>246</v>
      </c>
      <c r="BV4" s="5" t="s">
        <v>247</v>
      </c>
      <c r="BW4" s="5" t="s">
        <v>260</v>
      </c>
      <c r="BX4" s="5" t="s">
        <v>261</v>
      </c>
      <c r="BY4" s="5" t="s">
        <v>262</v>
      </c>
      <c r="BZ4" s="5" t="s">
        <v>263</v>
      </c>
      <c r="CA4" s="5" t="s">
        <v>265</v>
      </c>
      <c r="CB4" s="5" t="s">
        <v>266</v>
      </c>
      <c r="CC4" s="37" t="s">
        <v>297</v>
      </c>
      <c r="CD4" s="37" t="s">
        <v>298</v>
      </c>
      <c r="CE4" s="37" t="s">
        <v>299</v>
      </c>
      <c r="CF4" s="37" t="s">
        <v>301</v>
      </c>
      <c r="CG4" s="5" t="s">
        <v>302</v>
      </c>
    </row>
    <row r="5" spans="1:85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202</v>
      </c>
    </row>
    <row r="6" spans="1:85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1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Q6" s="10"/>
      <c r="BS6" s="12"/>
    </row>
    <row r="7" spans="1:85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3">IF(OR($G7="Primary Debulking", $G7="Laparoscopic Biopsy"), "0", IF($G7="Interval Debulking", "1", ""))</f>
        <v/>
      </c>
      <c r="G7" s="32"/>
      <c r="H7" s="12"/>
      <c r="I7" s="32"/>
      <c r="J7" s="8" t="str">
        <f t="shared" si="0"/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1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10"/>
      <c r="BR7" s="30"/>
      <c r="BS7" s="12"/>
    </row>
    <row r="8" spans="1:85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3"/>
        <v/>
      </c>
      <c r="G8" s="32"/>
      <c r="H8" s="12"/>
      <c r="I8" s="32"/>
      <c r="J8" s="8" t="str">
        <f t="shared" si="0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1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10"/>
      <c r="BR8" s="30"/>
      <c r="BS8" s="12"/>
    </row>
    <row r="9" spans="1:85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3"/>
        <v/>
      </c>
      <c r="G9" s="32"/>
      <c r="H9" s="12"/>
      <c r="I9" s="32"/>
      <c r="J9" s="8" t="str">
        <f t="shared" si="0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1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10"/>
      <c r="BR9" s="30"/>
      <c r="BS9" s="12"/>
    </row>
    <row r="10" spans="1:85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3"/>
        <v/>
      </c>
      <c r="G10" s="32"/>
      <c r="H10" s="12"/>
      <c r="I10" s="32"/>
      <c r="J10" s="8" t="str">
        <f t="shared" si="0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1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10"/>
      <c r="BR10" s="30"/>
      <c r="BS10" s="12"/>
    </row>
    <row r="11" spans="1:85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3"/>
        <v/>
      </c>
      <c r="G11" s="32"/>
      <c r="H11" s="12"/>
      <c r="I11" s="32"/>
      <c r="J11" s="8" t="str">
        <f t="shared" si="0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1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10"/>
      <c r="BR11" s="30"/>
      <c r="BS11" s="12"/>
    </row>
    <row r="12" spans="1:85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3"/>
        <v/>
      </c>
      <c r="G12" s="32"/>
      <c r="H12" s="12"/>
      <c r="I12" s="32"/>
      <c r="J12" s="8" t="str">
        <f t="shared" si="0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1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10"/>
      <c r="BR12" s="30"/>
      <c r="BS12" s="12"/>
    </row>
    <row r="13" spans="1:85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3"/>
        <v/>
      </c>
      <c r="G13" s="32"/>
      <c r="H13" s="12"/>
      <c r="I13" s="32"/>
      <c r="J13" s="8" t="str">
        <f t="shared" si="0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1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10"/>
      <c r="BR13" s="32"/>
      <c r="BS13" s="12"/>
    </row>
    <row r="14" spans="1:85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3"/>
        <v/>
      </c>
      <c r="G14" s="32"/>
      <c r="H14" s="12"/>
      <c r="I14" s="32"/>
      <c r="J14" s="8" t="str">
        <f t="shared" si="0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1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10"/>
      <c r="BR14" s="32"/>
      <c r="BS14" s="12"/>
    </row>
    <row r="15" spans="1:85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3"/>
        <v/>
      </c>
      <c r="G15" s="32"/>
      <c r="H15" s="12"/>
      <c r="I15" s="32"/>
      <c r="J15" s="8" t="str">
        <f t="shared" si="0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1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10"/>
      <c r="BR15" s="32"/>
      <c r="BS15" s="12"/>
    </row>
    <row r="16" spans="1:85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3"/>
        <v/>
      </c>
      <c r="G16" s="32"/>
      <c r="H16" s="12"/>
      <c r="I16" s="32"/>
      <c r="J16" s="8" t="str">
        <f t="shared" si="0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1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32"/>
      <c r="BS16" s="16"/>
      <c r="BT16" s="10"/>
      <c r="BU16" s="10"/>
    </row>
    <row r="17" spans="1:73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3"/>
        <v/>
      </c>
      <c r="G17" s="32"/>
      <c r="H17" s="12"/>
      <c r="I17" s="32"/>
      <c r="J17" s="8" t="str">
        <f t="shared" si="0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1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32"/>
      <c r="BS17" s="16"/>
      <c r="BT17" s="10"/>
      <c r="BU17" s="10"/>
    </row>
    <row r="18" spans="1:73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3"/>
        <v/>
      </c>
      <c r="G18" s="32"/>
      <c r="H18" s="12"/>
      <c r="I18" s="32"/>
      <c r="J18" s="8" t="str">
        <f t="shared" si="0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1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32"/>
      <c r="BS18" s="16"/>
      <c r="BT18" s="10"/>
      <c r="BU18" s="10"/>
    </row>
    <row r="19" spans="1:73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3"/>
        <v/>
      </c>
      <c r="G19" s="32"/>
      <c r="H19" s="12"/>
      <c r="I19" s="32"/>
      <c r="J19" s="8" t="str">
        <f t="shared" si="0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1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32"/>
      <c r="BS19" s="16"/>
      <c r="BT19" s="10"/>
      <c r="BU19" s="10"/>
    </row>
    <row r="20" spans="1:73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3"/>
        <v/>
      </c>
      <c r="G20" s="32"/>
      <c r="H20" s="12"/>
      <c r="I20" s="32"/>
      <c r="J20" s="8" t="str">
        <f t="shared" si="0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1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32"/>
      <c r="BS20" s="16"/>
      <c r="BT20" s="10"/>
      <c r="BU20" s="10"/>
    </row>
    <row r="21" spans="1:73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3"/>
        <v/>
      </c>
      <c r="G21" s="32"/>
      <c r="H21" s="12"/>
      <c r="I21" s="32"/>
      <c r="J21" s="8" t="str">
        <f t="shared" si="0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1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32"/>
      <c r="BS21" s="16"/>
      <c r="BT21" s="10"/>
      <c r="BU21" s="10"/>
    </row>
    <row r="22" spans="1:73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3"/>
        <v/>
      </c>
      <c r="G22" s="32"/>
      <c r="H22" s="12"/>
      <c r="I22" s="32"/>
      <c r="J22" s="8" t="str">
        <f t="shared" si="0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1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32"/>
      <c r="BS22" s="16"/>
      <c r="BT22" s="10"/>
      <c r="BU22" s="10"/>
    </row>
    <row r="23" spans="1:73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3"/>
        <v/>
      </c>
      <c r="G23" s="32"/>
      <c r="H23" s="12"/>
      <c r="I23" s="32"/>
      <c r="J23" s="8" t="str">
        <f t="shared" si="0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1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32"/>
      <c r="BS23" s="16"/>
      <c r="BT23" s="10"/>
      <c r="BU23" s="10"/>
    </row>
    <row r="24" spans="1:73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3"/>
        <v/>
      </c>
      <c r="G24" s="32"/>
      <c r="H24" s="12"/>
      <c r="I24" s="32"/>
      <c r="J24" s="8" t="str">
        <f t="shared" si="0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1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32"/>
      <c r="BS24" s="16"/>
      <c r="BT24" s="10"/>
      <c r="BU24" s="10"/>
    </row>
    <row r="25" spans="1:73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3"/>
        <v/>
      </c>
      <c r="G25" s="32"/>
      <c r="H25" s="12"/>
      <c r="I25" s="32"/>
      <c r="J25" s="8" t="str">
        <f t="shared" si="0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1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32"/>
      <c r="BS25" s="16"/>
      <c r="BT25" s="10"/>
      <c r="BU25" s="10"/>
    </row>
    <row r="26" spans="1:73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3"/>
        <v/>
      </c>
      <c r="G26" s="32"/>
      <c r="H26" s="12"/>
      <c r="I26" s="32"/>
      <c r="J26" s="8" t="str">
        <f t="shared" si="0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1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32"/>
      <c r="BS26" s="16"/>
      <c r="BT26" s="10"/>
      <c r="BU26" s="10"/>
    </row>
    <row r="27" spans="1:73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3"/>
        <v/>
      </c>
      <c r="G27" s="32"/>
      <c r="H27" s="12"/>
      <c r="I27" s="32"/>
      <c r="J27" s="8" t="str">
        <f t="shared" si="0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1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32"/>
      <c r="BS27" s="16"/>
      <c r="BT27" s="10"/>
      <c r="BU27" s="10"/>
    </row>
    <row r="28" spans="1:73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3"/>
        <v/>
      </c>
      <c r="G28" s="32"/>
      <c r="H28" s="12"/>
      <c r="I28" s="32"/>
      <c r="J28" s="8" t="str">
        <f t="shared" si="0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1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32"/>
      <c r="BS28" s="16"/>
      <c r="BT28" s="10"/>
      <c r="BU28" s="10"/>
    </row>
    <row r="29" spans="1:73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3"/>
        <v/>
      </c>
      <c r="G29" s="32"/>
      <c r="H29" s="12"/>
      <c r="I29" s="32"/>
      <c r="J29" s="8" t="str">
        <f t="shared" si="0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1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32"/>
      <c r="BS29" s="16"/>
      <c r="BT29" s="10"/>
      <c r="BU29" s="10"/>
    </row>
    <row r="30" spans="1:73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3"/>
        <v/>
      </c>
      <c r="G30" s="32"/>
      <c r="H30" s="12"/>
      <c r="I30" s="32"/>
      <c r="J30" s="8" t="str">
        <f t="shared" si="0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1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32"/>
      <c r="BS30" s="16"/>
      <c r="BT30" s="10"/>
      <c r="BU30" s="10"/>
    </row>
    <row r="31" spans="1:73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3"/>
        <v/>
      </c>
      <c r="G31" s="32"/>
      <c r="H31" s="12"/>
      <c r="I31" s="32"/>
      <c r="J31" s="8" t="str">
        <f t="shared" si="0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1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32"/>
      <c r="BS31" s="16"/>
      <c r="BT31" s="10"/>
      <c r="BU31" s="10"/>
    </row>
    <row r="32" spans="1:73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3"/>
        <v/>
      </c>
      <c r="G32" s="32"/>
      <c r="H32" s="12"/>
      <c r="I32" s="32"/>
      <c r="J32" s="8" t="str">
        <f t="shared" si="0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1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32"/>
      <c r="BS32" s="16"/>
      <c r="BT32" s="10"/>
      <c r="BU32" s="10"/>
    </row>
    <row r="33" spans="1:73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3"/>
        <v/>
      </c>
      <c r="G33" s="32"/>
      <c r="H33" s="12"/>
      <c r="I33" s="32"/>
      <c r="J33" s="8" t="str">
        <f t="shared" si="0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1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32"/>
      <c r="BS33" s="16"/>
      <c r="BT33" s="10"/>
      <c r="BU33" s="10"/>
    </row>
    <row r="34" spans="1:73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3"/>
        <v/>
      </c>
      <c r="G34" s="32"/>
      <c r="H34" s="12"/>
      <c r="I34" s="32"/>
      <c r="J34" s="8" t="str">
        <f t="shared" si="0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1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32"/>
      <c r="BS34" s="16"/>
      <c r="BT34" s="10"/>
      <c r="BU34" s="10"/>
    </row>
    <row r="35" spans="1:73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3"/>
        <v/>
      </c>
      <c r="G35" s="32"/>
      <c r="H35" s="12"/>
      <c r="I35" s="32"/>
      <c r="J35" s="8" t="str">
        <f t="shared" si="0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1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32"/>
      <c r="BS35" s="16"/>
      <c r="BT35" s="10"/>
      <c r="BU35" s="10"/>
    </row>
    <row r="36" spans="1:73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3"/>
        <v/>
      </c>
      <c r="G36" s="32"/>
      <c r="H36" s="12"/>
      <c r="I36" s="32"/>
      <c r="J36" s="8" t="str">
        <f t="shared" si="0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1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32"/>
      <c r="BS36" s="16"/>
      <c r="BT36" s="10"/>
      <c r="BU36" s="10"/>
    </row>
    <row r="37" spans="1:73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3"/>
        <v/>
      </c>
      <c r="G37" s="32"/>
      <c r="H37" s="12"/>
      <c r="I37" s="32"/>
      <c r="J37" s="8" t="str">
        <f t="shared" si="0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1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32"/>
      <c r="BS37" s="16"/>
      <c r="BT37" s="10"/>
      <c r="BU37" s="10"/>
    </row>
    <row r="38" spans="1:73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3"/>
        <v/>
      </c>
      <c r="G38" s="32"/>
      <c r="H38" s="12"/>
      <c r="I38" s="32"/>
      <c r="J38" s="8" t="str">
        <f t="shared" si="0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1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32"/>
      <c r="BS38" s="16"/>
      <c r="BT38" s="10"/>
      <c r="BU38" s="10"/>
    </row>
    <row r="39" spans="1:73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1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6"/>
      <c r="BT39" s="10"/>
      <c r="BU39" s="10"/>
    </row>
    <row r="40" spans="1:73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1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6"/>
      <c r="BT40" s="10"/>
      <c r="BU40" s="10"/>
    </row>
    <row r="41" spans="1:73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1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6"/>
      <c r="BT41" s="10"/>
      <c r="BU41" s="10"/>
    </row>
    <row r="42" spans="1:73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1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6"/>
      <c r="BT42" s="10"/>
      <c r="BU42" s="10"/>
    </row>
    <row r="43" spans="1:73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1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6"/>
      <c r="BT43" s="10"/>
      <c r="BU43" s="10"/>
    </row>
    <row r="44" spans="1:73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1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6"/>
      <c r="BT44" s="10"/>
      <c r="BU44" s="10"/>
    </row>
    <row r="45" spans="1:73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1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6"/>
      <c r="BT45" s="10"/>
      <c r="BU45" s="10"/>
    </row>
    <row r="46" spans="1:73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1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6"/>
      <c r="BT46" s="10"/>
      <c r="BU46" s="10"/>
    </row>
    <row r="47" spans="1:73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1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6"/>
      <c r="BT47" s="10"/>
      <c r="BU47" s="10"/>
    </row>
    <row r="48" spans="1:73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1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6"/>
      <c r="BT48" s="10"/>
      <c r="BU48" s="10"/>
    </row>
    <row r="49" spans="1:73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1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6"/>
      <c r="BT49" s="10"/>
      <c r="BU49" s="10"/>
    </row>
    <row r="50" spans="1:73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1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6"/>
      <c r="BT50" s="10"/>
      <c r="BU50" s="10"/>
    </row>
    <row r="51" spans="1:73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1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6"/>
      <c r="BT51" s="10"/>
      <c r="BU51" s="10"/>
    </row>
    <row r="52" spans="1:73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1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6"/>
      <c r="BT52" s="10"/>
      <c r="BU52" s="10"/>
    </row>
    <row r="53" spans="1:73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1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6"/>
      <c r="BT53" s="10"/>
      <c r="BU53" s="10"/>
    </row>
    <row r="54" spans="1:73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1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6"/>
      <c r="BT54" s="10"/>
      <c r="BU54" s="10"/>
    </row>
    <row r="55" spans="1:73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1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6"/>
      <c r="BT55" s="10"/>
      <c r="BU55" s="10"/>
    </row>
    <row r="56" spans="1:73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1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6"/>
      <c r="BT56" s="10"/>
      <c r="BU56" s="10"/>
    </row>
    <row r="57" spans="1:73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1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6"/>
      <c r="BT57" s="10"/>
      <c r="BU57" s="10"/>
    </row>
    <row r="58" spans="1:73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1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6"/>
      <c r="BT58" s="10"/>
      <c r="BU58" s="10"/>
    </row>
    <row r="59" spans="1:73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1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6"/>
      <c r="BT59" s="10"/>
      <c r="BU59" s="10"/>
    </row>
    <row r="60" spans="1:73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1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6"/>
      <c r="BT60" s="10"/>
      <c r="BU60" s="10"/>
    </row>
    <row r="61" spans="1:73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1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6"/>
      <c r="BT61" s="10"/>
      <c r="BU61" s="10"/>
    </row>
    <row r="62" spans="1:73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1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6"/>
      <c r="BT62" s="10"/>
      <c r="BU62" s="10"/>
    </row>
    <row r="63" spans="1:73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1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6"/>
      <c r="BT63" s="10"/>
      <c r="BU63" s="10"/>
    </row>
    <row r="64" spans="1:73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1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6"/>
      <c r="BT64" s="10"/>
      <c r="BU64" s="10"/>
    </row>
    <row r="65" spans="1:73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1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6"/>
      <c r="BT65" s="10"/>
      <c r="BU65" s="10"/>
    </row>
    <row r="66" spans="1:73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1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6"/>
      <c r="BT66" s="10"/>
      <c r="BU66" s="10"/>
    </row>
    <row r="67" spans="1:73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1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6"/>
      <c r="BT67" s="10"/>
      <c r="BU67" s="10"/>
    </row>
    <row r="68" spans="1:73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1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6"/>
      <c r="BT68" s="10"/>
      <c r="BU68" s="10"/>
    </row>
    <row r="69" spans="1:73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1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6"/>
      <c r="BT69" s="10"/>
      <c r="BU69" s="10"/>
    </row>
    <row r="70" spans="1:73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6"/>
      <c r="BT70" s="10"/>
      <c r="BU70" s="10"/>
    </row>
    <row r="71" spans="1:73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6"/>
      <c r="BT71" s="10"/>
      <c r="BU71" s="10"/>
    </row>
    <row r="72" spans="1:73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6"/>
      <c r="BT72" s="10"/>
      <c r="BU72" s="10"/>
    </row>
    <row r="73" spans="1:73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6"/>
      <c r="BT73" s="10"/>
      <c r="BU73" s="10"/>
    </row>
    <row r="74" spans="1:73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6"/>
      <c r="BT74" s="10"/>
      <c r="BU74" s="10"/>
    </row>
    <row r="75" spans="1:73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6"/>
      <c r="BT75" s="10"/>
      <c r="BU75" s="10"/>
    </row>
    <row r="76" spans="1:73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6"/>
      <c r="BT76" s="10"/>
      <c r="BU76" s="10"/>
    </row>
    <row r="77" spans="1:73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6"/>
      <c r="BT77" s="10"/>
      <c r="BU77" s="10"/>
    </row>
    <row r="78" spans="1:73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6"/>
      <c r="BT78" s="10"/>
      <c r="BU78" s="10"/>
    </row>
    <row r="79" spans="1:73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6"/>
      <c r="BT79" s="10"/>
      <c r="BU79" s="10"/>
    </row>
    <row r="80" spans="1:73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6"/>
      <c r="BT80" s="10"/>
      <c r="BU80" s="10"/>
    </row>
    <row r="81" spans="1:73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6"/>
      <c r="BT81" s="10"/>
      <c r="BU81" s="10"/>
    </row>
    <row r="82" spans="1:73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6"/>
      <c r="BT82" s="10"/>
      <c r="BU82" s="10"/>
    </row>
    <row r="83" spans="1:73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6"/>
      <c r="BT83" s="10"/>
      <c r="BU83" s="10"/>
    </row>
    <row r="84" spans="1:73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6"/>
      <c r="BT84" s="10"/>
      <c r="BU84" s="10"/>
    </row>
    <row r="85" spans="1:73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6"/>
      <c r="BT85" s="10"/>
      <c r="BU85" s="10"/>
    </row>
    <row r="86" spans="1:73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6"/>
      <c r="BT86" s="10"/>
      <c r="BU86" s="10"/>
    </row>
    <row r="87" spans="1:73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6"/>
      <c r="BT87" s="10"/>
      <c r="BU87" s="10"/>
    </row>
    <row r="88" spans="1:73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6"/>
      <c r="BT88" s="10"/>
      <c r="BU88" s="10"/>
    </row>
    <row r="89" spans="1:73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6"/>
      <c r="BT89" s="10"/>
      <c r="BU89" s="10"/>
    </row>
    <row r="90" spans="1:73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6"/>
      <c r="BT90" s="10"/>
      <c r="BU90" s="10"/>
    </row>
    <row r="91" spans="1:73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6"/>
      <c r="BT91" s="10"/>
      <c r="BU91" s="10"/>
    </row>
    <row r="92" spans="1:73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6"/>
      <c r="BT92" s="10"/>
      <c r="BU92" s="10"/>
    </row>
    <row r="93" spans="1:73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6"/>
      <c r="BT93" s="10"/>
      <c r="BU93" s="10"/>
    </row>
    <row r="94" spans="1:73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6"/>
      <c r="BT94" s="10"/>
      <c r="BU94" s="10"/>
    </row>
    <row r="95" spans="1:73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6"/>
      <c r="BT95" s="10"/>
      <c r="BU95" s="10"/>
    </row>
    <row r="96" spans="1:73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6"/>
      <c r="BT96" s="10"/>
      <c r="BU96" s="10"/>
    </row>
    <row r="97" spans="1:73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6"/>
      <c r="BT97" s="10"/>
      <c r="BU97" s="10"/>
    </row>
    <row r="98" spans="1:73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6"/>
      <c r="BT98" s="10"/>
      <c r="BU98" s="10"/>
    </row>
    <row r="99" spans="1:73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6"/>
      <c r="BT99" s="10"/>
      <c r="BU99" s="10"/>
    </row>
    <row r="100" spans="1:73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6"/>
      <c r="BT100" s="10"/>
      <c r="BU100" s="10"/>
    </row>
    <row r="101" spans="1:73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6"/>
      <c r="BT101" s="10"/>
      <c r="BU101" s="10"/>
    </row>
    <row r="102" spans="1:73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</row>
    <row r="103" spans="1:73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</row>
    <row r="104" spans="1:73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</row>
    <row r="105" spans="1:73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</row>
    <row r="106" spans="1:73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</row>
    <row r="107" spans="1:73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</row>
    <row r="108" spans="1:73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</row>
    <row r="109" spans="1:73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</row>
    <row r="110" spans="1:73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</row>
    <row r="111" spans="1:73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</row>
    <row r="112" spans="1:73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</row>
    <row r="113" spans="2:73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</row>
    <row r="114" spans="2:73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</row>
    <row r="115" spans="2:73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</row>
    <row r="116" spans="2:73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</row>
    <row r="117" spans="2:73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</row>
    <row r="118" spans="2:73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</row>
    <row r="119" spans="2:73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</row>
    <row r="120" spans="2:73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</row>
    <row r="121" spans="2:73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</row>
    <row r="122" spans="2:73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</row>
    <row r="123" spans="2:73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</row>
    <row r="124" spans="2:73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</row>
    <row r="125" spans="2:73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</row>
    <row r="126" spans="2:73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</row>
    <row r="127" spans="2:73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</row>
    <row r="128" spans="2:73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</row>
    <row r="129" spans="2:73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</row>
    <row r="130" spans="2:73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</row>
    <row r="131" spans="2:73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</row>
    <row r="132" spans="2:73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</row>
    <row r="133" spans="2:73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</row>
    <row r="134" spans="2:73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</row>
    <row r="135" spans="2:73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</row>
    <row r="136" spans="2:73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</row>
    <row r="137" spans="2:73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</row>
    <row r="138" spans="2:73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</row>
    <row r="139" spans="2:73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</row>
  </sheetData>
  <dataConsolidate/>
  <mergeCells count="19">
    <mergeCell ref="AY3:AZ3"/>
    <mergeCell ref="BS3:BT3"/>
    <mergeCell ref="BU3:BZ3"/>
    <mergeCell ref="CC3:CF3"/>
    <mergeCell ref="A3:E3"/>
    <mergeCell ref="BN3:BQ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K3"/>
    <mergeCell ref="M3:N3"/>
    <mergeCell ref="P3:T3"/>
    <mergeCell ref="CA3:CB3"/>
  </mergeCells>
  <phoneticPr fontId="7" type="noConversion"/>
  <conditionalFormatting sqref="O6:O100">
    <cfRule type="expression" dxfId="75" priority="86">
      <formula>$L6="Yes"</formula>
    </cfRule>
  </conditionalFormatting>
  <conditionalFormatting sqref="A6:A100">
    <cfRule type="containsBlanks" dxfId="74" priority="85">
      <formula>LEN(TRIM(A6))=0</formula>
    </cfRule>
  </conditionalFormatting>
  <conditionalFormatting sqref="M6 M39:M100">
    <cfRule type="expression" dxfId="73" priority="84">
      <formula>$L6="Yes"</formula>
    </cfRule>
  </conditionalFormatting>
  <conditionalFormatting sqref="U6:V100 X6:Y100">
    <cfRule type="expression" dxfId="72" priority="83">
      <formula>$T6="Single Cell Suspension"</formula>
    </cfRule>
  </conditionalFormatting>
  <conditionalFormatting sqref="Z6:AE100">
    <cfRule type="expression" dxfId="71" priority="90">
      <formula>$Y6="Unsorted Single Cell Sequencing"</formula>
    </cfRule>
  </conditionalFormatting>
  <conditionalFormatting sqref="AD6:AE100">
    <cfRule type="expression" dxfId="70" priority="89">
      <formula>$Y6="Unsorted Single Cell Sequencing"</formula>
    </cfRule>
  </conditionalFormatting>
  <conditionalFormatting sqref="AJ6:AP100">
    <cfRule type="notContainsBlanks" dxfId="69" priority="60">
      <formula>LEN(TRIM(AJ6))&gt;0</formula>
    </cfRule>
    <cfRule type="expression" dxfId="68" priority="61">
      <formula>$Y6="Sorted Single Cell Sequencing"</formula>
    </cfRule>
    <cfRule type="expression" dxfId="67" priority="62">
      <formula>$Y6="Unsorted Single Cell Sequencing"</formula>
    </cfRule>
  </conditionalFormatting>
  <conditionalFormatting sqref="X6:Y100 AV7:AX7 AV6:AZ6 AV8:AZ100 CA13:CB13">
    <cfRule type="notContainsBlanks" dxfId="66" priority="30">
      <formula>LEN(TRIM(X6))&gt;0</formula>
    </cfRule>
  </conditionalFormatting>
  <conditionalFormatting sqref="AQ6:AU100">
    <cfRule type="notContainsBlanks" dxfId="65" priority="22">
      <formula>LEN(TRIM(AQ6))&gt;0</formula>
    </cfRule>
    <cfRule type="expression" dxfId="64" priority="72">
      <formula>$T6="Frozen Tissue"</formula>
    </cfRule>
    <cfRule type="expression" dxfId="63" priority="76">
      <formula>$T6="FFPE Block"</formula>
    </cfRule>
  </conditionalFormatting>
  <conditionalFormatting sqref="U6:V100">
    <cfRule type="notContainsBlanks" dxfId="62" priority="52">
      <formula>LEN(TRIM(U6))&gt;0</formula>
    </cfRule>
    <cfRule type="notContainsBlanks" dxfId="61" priority="120">
      <formula>LEN(TRIM(U6))&gt;0</formula>
    </cfRule>
    <cfRule type="expression" dxfId="60" priority="121">
      <formula>$T6="Single Cell Suspension"</formula>
    </cfRule>
  </conditionalFormatting>
  <conditionalFormatting sqref="AV6:AX7 BA6:BM6 BA7:BE7 BF7:BM100 AV8:BE100">
    <cfRule type="expression" dxfId="59" priority="75">
      <formula>$AU6="IF"</formula>
    </cfRule>
  </conditionalFormatting>
  <conditionalFormatting sqref="BA11:BB100 BA6:BB8">
    <cfRule type="expression" dxfId="58" priority="70">
      <formula>$AX6="Curls"</formula>
    </cfRule>
  </conditionalFormatting>
  <conditionalFormatting sqref="AV6:AX7 BA6:BQ6 BA7:BE7 AV8:BE100 BF7:BQ100">
    <cfRule type="expression" dxfId="57" priority="92">
      <formula>$AU6="Storage Only"</formula>
    </cfRule>
  </conditionalFormatting>
  <conditionalFormatting sqref="BA6:BE100">
    <cfRule type="notContainsBlanks" dxfId="56" priority="41">
      <formula>LEN(TRIM(BA6))&gt;0</formula>
    </cfRule>
  </conditionalFormatting>
  <conditionalFormatting sqref="BN6:BQ100">
    <cfRule type="notContainsBlanks" dxfId="55" priority="29">
      <formula>LEN(TRIM(BN6))&gt;0</formula>
    </cfRule>
    <cfRule type="expression" dxfId="54" priority="47">
      <formula>$AU6="IF"</formula>
    </cfRule>
    <cfRule type="expression" dxfId="53" priority="44">
      <formula>$AU6="mpIF"</formula>
    </cfRule>
  </conditionalFormatting>
  <conditionalFormatting sqref="O6:O100">
    <cfRule type="expression" dxfId="52" priority="54">
      <formula>$L6="No"</formula>
    </cfRule>
  </conditionalFormatting>
  <conditionalFormatting sqref="BG6:BM100">
    <cfRule type="notContainsBlanks" dxfId="51" priority="28">
      <formula>LEN(TRIM(BG6))&gt;0</formula>
    </cfRule>
    <cfRule type="expression" dxfId="50" priority="66">
      <formula>$BF6="IGO"</formula>
    </cfRule>
  </conditionalFormatting>
  <conditionalFormatting sqref="Z6:AE100">
    <cfRule type="notContainsBlanks" dxfId="49" priority="77">
      <formula>LEN(TRIM(Z6))&gt;0</formula>
    </cfRule>
    <cfRule type="expression" dxfId="48" priority="78">
      <formula>$Y6="Sorted Single Cell Sequencing"</formula>
    </cfRule>
  </conditionalFormatting>
  <conditionalFormatting sqref="AV6:BE100">
    <cfRule type="expression" dxfId="47" priority="71">
      <formula>$T6="FFPE Block"</formula>
    </cfRule>
  </conditionalFormatting>
  <conditionalFormatting sqref="AG6:AP100 U6:AE100">
    <cfRule type="expression" dxfId="46" priority="53">
      <formula>$T6="Frozen Tissue"</formula>
    </cfRule>
    <cfRule type="expression" dxfId="45" priority="57">
      <formula>$T6="FFPE Block"</formula>
    </cfRule>
  </conditionalFormatting>
  <conditionalFormatting sqref="BS6:CB100">
    <cfRule type="expression" dxfId="44" priority="18">
      <formula>$Y6="Storage Only"</formula>
    </cfRule>
    <cfRule type="notContainsBlanks" dxfId="43" priority="20">
      <formula>LEN(TRIM(BS6))&gt;0</formula>
    </cfRule>
  </conditionalFormatting>
  <conditionalFormatting sqref="BR6:BR100">
    <cfRule type="notContainsBlanks" dxfId="42" priority="31">
      <formula>LEN(TRIM(BR6))&gt;0</formula>
    </cfRule>
    <cfRule type="expression" dxfId="41" priority="36">
      <formula>$Y6 = "Storage Only"</formula>
    </cfRule>
  </conditionalFormatting>
  <conditionalFormatting sqref="AH6:AH100">
    <cfRule type="notContainsBlanks" dxfId="40" priority="21">
      <formula>LEN(TRIM(AH6))&gt;0</formula>
    </cfRule>
    <cfRule type="expression" dxfId="39" priority="39">
      <formula>$AE6="DLP"</formula>
    </cfRule>
    <cfRule type="expression" dxfId="38" priority="40">
      <formula>$AE6 = "scRNA Sequencing"</formula>
    </cfRule>
  </conditionalFormatting>
  <conditionalFormatting sqref="M7:M11">
    <cfRule type="expression" dxfId="37" priority="34">
      <formula>$L7="Yes"</formula>
    </cfRule>
  </conditionalFormatting>
  <conditionalFormatting sqref="M12:M38">
    <cfRule type="expression" dxfId="36" priority="33">
      <formula>$L12="Yes"</formula>
    </cfRule>
  </conditionalFormatting>
  <conditionalFormatting sqref="AV6:AX100">
    <cfRule type="expression" dxfId="35" priority="73">
      <formula>$AU6="WGS Bulk Tumour"</formula>
    </cfRule>
  </conditionalFormatting>
  <conditionalFormatting sqref="AY6:AZ100">
    <cfRule type="expression" dxfId="34" priority="51">
      <formula>$AX6="Microdissect"</formula>
    </cfRule>
  </conditionalFormatting>
  <conditionalFormatting sqref="AY6:AZ6">
    <cfRule type="expression" dxfId="33" priority="123">
      <formula>$Y7="Storage Only"</formula>
    </cfRule>
  </conditionalFormatting>
  <conditionalFormatting sqref="AY6:AZ6">
    <cfRule type="expression" dxfId="32" priority="125">
      <formula>$AU7="IF"</formula>
    </cfRule>
  </conditionalFormatting>
  <conditionalFormatting sqref="AY6:AZ6">
    <cfRule type="expression" dxfId="31" priority="127">
      <formula>$AU7="Storage Only"</formula>
    </cfRule>
  </conditionalFormatting>
  <conditionalFormatting sqref="AY6:AZ6">
    <cfRule type="expression" dxfId="30" priority="131">
      <formula>$T7="Single Cell Suspension"</formula>
    </cfRule>
  </conditionalFormatting>
  <conditionalFormatting sqref="AY6:AZ100 BC6:BE100">
    <cfRule type="expression" dxfId="29" priority="45">
      <formula>$AX6="Curls"</formula>
    </cfRule>
  </conditionalFormatting>
  <conditionalFormatting sqref="AQ6:BQ100">
    <cfRule type="expression" dxfId="28" priority="48">
      <formula>$T6="Single Cell Suspensions"</formula>
    </cfRule>
  </conditionalFormatting>
  <conditionalFormatting sqref="BF6:BM100">
    <cfRule type="expression" dxfId="27" priority="63">
      <formula>$T6="FFPE Block"</formula>
    </cfRule>
  </conditionalFormatting>
  <conditionalFormatting sqref="Z6:BQ100">
    <cfRule type="expression" dxfId="26" priority="91">
      <formula>$Y6="Storage Only"</formula>
    </cfRule>
  </conditionalFormatting>
  <conditionalFormatting sqref="AQ6:BR100">
    <cfRule type="expression" dxfId="25" priority="65">
      <formula>$AE6="DLP"</formula>
    </cfRule>
  </conditionalFormatting>
  <conditionalFormatting sqref="CA6:CB100">
    <cfRule type="expression" dxfId="24" priority="23">
      <formula>$BT6="IGO"</formula>
    </cfRule>
    <cfRule type="expression" dxfId="23" priority="27">
      <formula>$BT6="BCCRC"</formula>
    </cfRule>
  </conditionalFormatting>
  <conditionalFormatting sqref="BR6:CB100">
    <cfRule type="expression" dxfId="22" priority="19">
      <formula>$T5="FFPE Block"</formula>
    </cfRule>
    <cfRule type="expression" dxfId="21" priority="42">
      <formula>$AU6 = "Storage Only"</formula>
    </cfRule>
  </conditionalFormatting>
  <conditionalFormatting sqref="BS6:BT100">
    <cfRule type="expression" dxfId="20" priority="43">
      <formula>$AE6 = "DLP"</formula>
    </cfRule>
  </conditionalFormatting>
  <conditionalFormatting sqref="BU6:BZ100">
    <cfRule type="expression" dxfId="19" priority="24">
      <formula>$BT6="IGO"</formula>
    </cfRule>
    <cfRule type="expression" dxfId="18" priority="35">
      <formula>$BT6="BCCRC"</formula>
    </cfRule>
  </conditionalFormatting>
  <conditionalFormatting sqref="AQ6:CB100">
    <cfRule type="expression" dxfId="17" priority="8">
      <formula>$AE6="scRNA Sequencing"</formula>
    </cfRule>
  </conditionalFormatting>
  <conditionalFormatting sqref="BN6:CB100">
    <cfRule type="expression" dxfId="16" priority="56">
      <formula>$AU6="WGS Bulk Tumour"</formula>
    </cfRule>
  </conditionalFormatting>
  <conditionalFormatting sqref="BA6:BB100">
    <cfRule type="expression" dxfId="15" priority="139">
      <formula>$AX6="Curls"</formula>
    </cfRule>
  </conditionalFormatting>
  <conditionalFormatting sqref="BA9:BE9">
    <cfRule type="notContainsBlanks" dxfId="14" priority="146">
      <formula>LEN(TRIM(BA9))&gt;0</formula>
    </cfRule>
    <cfRule type="expression" dxfId="13" priority="147">
      <formula>#REF!="Microdissect"</formula>
    </cfRule>
  </conditionalFormatting>
  <conditionalFormatting sqref="AY10:AZ10">
    <cfRule type="expression" dxfId="12" priority="153">
      <formula>$AX9="Microdissect"</formula>
    </cfRule>
  </conditionalFormatting>
  <conditionalFormatting sqref="AY9:AZ9">
    <cfRule type="expression" dxfId="11" priority="154">
      <formula>#REF!="Microdissect"</formula>
    </cfRule>
  </conditionalFormatting>
  <conditionalFormatting sqref="AY10:AZ10 BC10:BE10">
    <cfRule type="expression" dxfId="10" priority="156">
      <formula>$AX9="Curls"</formula>
    </cfRule>
  </conditionalFormatting>
  <conditionalFormatting sqref="AY9:AZ9 BC9:BE9">
    <cfRule type="expression" dxfId="9" priority="157">
      <formula>#REF!="Curls"</formula>
    </cfRule>
  </conditionalFormatting>
  <conditionalFormatting sqref="BA11:BE100">
    <cfRule type="expression" dxfId="8" priority="67">
      <formula>$AX11="Microdissect"</formula>
    </cfRule>
  </conditionalFormatting>
  <conditionalFormatting sqref="BA6:BE100">
    <cfRule type="notContainsBlanks" dxfId="7" priority="144">
      <formula>LEN(TRIM(BA6))&gt;0</formula>
    </cfRule>
    <cfRule type="expression" dxfId="6" priority="145">
      <formula>$AX6="Microdissect"</formula>
    </cfRule>
  </conditionalFormatting>
  <conditionalFormatting sqref="CC6:CF100">
    <cfRule type="expression" dxfId="5" priority="7">
      <formula>$BQ6="Diagnostic blocks"</formula>
    </cfRule>
    <cfRule type="notContainsBlanks" dxfId="4" priority="6">
      <formula>LEN(TRIM(CC6))&gt;0</formula>
    </cfRule>
    <cfRule type="expression" dxfId="3" priority="1">
      <formula>$BQ6="GYN blocks"</formula>
    </cfRule>
  </conditionalFormatting>
  <conditionalFormatting sqref="CG6:CG100">
    <cfRule type="expression" dxfId="2" priority="3">
      <formula>$BQ6="Diagnostic blocks"</formula>
    </cfRule>
    <cfRule type="expression" dxfId="1" priority="5">
      <formula>$BQ6="GYN blocks"</formula>
    </cfRule>
    <cfRule type="notContainsBlanks" dxfId="0" priority="2">
      <formula>LEN(TRIM(CG6))&gt;0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Q31:BQ40 BQ81:BQ90 BQ56:BQ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BQ5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BR6:BR100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BT6:BT100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BQ6:BQ15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BX6:BX100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Validations!$Y$3:$Y$7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O1" workbookViewId="0">
      <selection activeCell="X14" sqref="X1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/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1" t="s">
        <v>282</v>
      </c>
      <c r="Y3" s="51" t="s">
        <v>294</v>
      </c>
    </row>
    <row r="4" spans="1:26" x14ac:dyDescent="0.2">
      <c r="B4" s="1" t="s">
        <v>51</v>
      </c>
      <c r="C4" s="1" t="s">
        <v>227</v>
      </c>
      <c r="D4" s="1" t="s">
        <v>153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1" t="s">
        <v>225</v>
      </c>
      <c r="Y4" s="1" t="s">
        <v>270</v>
      </c>
    </row>
    <row r="5" spans="1:26" x14ac:dyDescent="0.2">
      <c r="B5" s="1" t="s">
        <v>52</v>
      </c>
      <c r="C5" s="1" t="s">
        <v>150</v>
      </c>
      <c r="D5" s="1" t="s">
        <v>154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155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272</v>
      </c>
    </row>
    <row r="7" spans="1:26" x14ac:dyDescent="0.2">
      <c r="B7" s="1" t="s">
        <v>54</v>
      </c>
      <c r="D7" s="1" t="s">
        <v>156</v>
      </c>
      <c r="F7" s="1">
        <v>5</v>
      </c>
      <c r="H7" s="1" t="s">
        <v>168</v>
      </c>
      <c r="I7" s="1" t="s">
        <v>178</v>
      </c>
      <c r="X7" s="1" t="s">
        <v>273</v>
      </c>
    </row>
    <row r="8" spans="1:26" x14ac:dyDescent="0.2">
      <c r="B8" s="1" t="s">
        <v>55</v>
      </c>
      <c r="D8" s="1" t="s">
        <v>285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157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158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159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160</v>
      </c>
      <c r="F12" s="1">
        <v>10</v>
      </c>
    </row>
    <row r="13" spans="1:26" x14ac:dyDescent="0.2">
      <c r="B13" s="1" t="s">
        <v>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J92"/>
  <sheetViews>
    <sheetView topLeftCell="BY1" zoomScale="120" zoomScaleNormal="120" workbookViewId="0">
      <selection activeCell="CB15" sqref="CB15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0.5" bestFit="1" customWidth="1"/>
    <col min="53" max="53" width="27" bestFit="1" customWidth="1"/>
    <col min="54" max="54" width="21.5" bestFit="1" customWidth="1"/>
    <col min="55" max="55" width="18.83203125" bestFit="1" customWidth="1"/>
    <col min="57" max="57" width="22.1640625" bestFit="1" customWidth="1"/>
    <col min="58" max="58" width="22.83203125" bestFit="1" customWidth="1"/>
    <col min="59" max="59" width="11.33203125" bestFit="1" customWidth="1"/>
    <col min="60" max="60" width="21.5" bestFit="1" customWidth="1"/>
    <col min="61" max="61" width="18.33203125" bestFit="1" customWidth="1"/>
    <col min="62" max="62" width="19.1640625" bestFit="1" customWidth="1"/>
    <col min="63" max="63" width="17.83203125" bestFit="1" customWidth="1"/>
    <col min="64" max="65" width="24.1640625" bestFit="1" customWidth="1"/>
    <col min="66" max="66" width="19.33203125" bestFit="1" customWidth="1"/>
    <col min="67" max="67" width="16.6640625" bestFit="1" customWidth="1"/>
    <col min="68" max="68" width="16.6640625" customWidth="1"/>
    <col min="69" max="69" width="15.1640625" bestFit="1" customWidth="1"/>
    <col min="70" max="70" width="17.6640625" bestFit="1" customWidth="1"/>
    <col min="71" max="71" width="21" bestFit="1" customWidth="1"/>
    <col min="72" max="72" width="21.83203125" bestFit="1" customWidth="1"/>
    <col min="73" max="73" width="10.33203125" bestFit="1" customWidth="1"/>
    <col min="74" max="74" width="20.33203125" bestFit="1" customWidth="1"/>
    <col min="75" max="75" width="22.5" bestFit="1" customWidth="1"/>
    <col min="76" max="76" width="22" bestFit="1" customWidth="1"/>
    <col min="77" max="78" width="28.33203125" bestFit="1" customWidth="1"/>
    <col min="79" max="79" width="15.5" bestFit="1" customWidth="1"/>
    <col min="80" max="80" width="25.1640625" bestFit="1" customWidth="1"/>
    <col min="81" max="81" width="15" bestFit="1" customWidth="1"/>
    <col min="82" max="82" width="8" bestFit="1" customWidth="1"/>
    <col min="83" max="83" width="12" bestFit="1" customWidth="1"/>
    <col min="84" max="84" width="12.83203125" bestFit="1" customWidth="1"/>
    <col min="85" max="85" width="25.83203125" bestFit="1" customWidth="1"/>
  </cols>
  <sheetData>
    <row r="1" spans="1:88" x14ac:dyDescent="0.2">
      <c r="A1" s="40"/>
      <c r="B1" t="s">
        <v>274</v>
      </c>
    </row>
    <row r="2" spans="1:88" x14ac:dyDescent="0.2">
      <c r="A2" s="42"/>
      <c r="B2" t="s">
        <v>275</v>
      </c>
    </row>
    <row r="3" spans="1:88" x14ac:dyDescent="0.2">
      <c r="A3" s="45" t="str">
        <f ca="1">IF($D3="", "", INDIRECT("$D6"))</f>
        <v/>
      </c>
      <c r="B3" t="s">
        <v>276</v>
      </c>
    </row>
    <row r="4" spans="1:88" x14ac:dyDescent="0.2">
      <c r="A4" s="61" t="s">
        <v>37</v>
      </c>
      <c r="B4" s="61"/>
      <c r="C4" s="61"/>
      <c r="D4" s="61"/>
      <c r="E4" s="61"/>
      <c r="F4" s="61" t="s">
        <v>38</v>
      </c>
      <c r="G4" s="61"/>
      <c r="H4" s="61"/>
      <c r="I4" s="61"/>
      <c r="J4" s="61"/>
      <c r="K4" s="61"/>
      <c r="L4" s="36" t="s">
        <v>39</v>
      </c>
      <c r="M4" s="61" t="s">
        <v>40</v>
      </c>
      <c r="N4" s="61"/>
      <c r="O4" s="36"/>
      <c r="P4" s="61" t="s">
        <v>41</v>
      </c>
      <c r="Q4" s="61"/>
      <c r="R4" s="61"/>
      <c r="S4" s="61"/>
      <c r="T4" s="61"/>
      <c r="U4" s="61" t="s">
        <v>42</v>
      </c>
      <c r="V4" s="61"/>
      <c r="W4" s="61"/>
      <c r="X4" s="61"/>
      <c r="Y4" s="61"/>
      <c r="Z4" s="36" t="s">
        <v>43</v>
      </c>
      <c r="AA4" s="61" t="s">
        <v>44</v>
      </c>
      <c r="AB4" s="61"/>
      <c r="AC4" s="61"/>
      <c r="AD4" s="61" t="s">
        <v>253</v>
      </c>
      <c r="AE4" s="61"/>
      <c r="AF4" s="61" t="s">
        <v>254</v>
      </c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 t="s">
        <v>45</v>
      </c>
      <c r="AR4" s="61"/>
      <c r="AS4" s="61"/>
      <c r="AT4" s="61"/>
      <c r="AU4" s="61"/>
      <c r="AV4" s="61" t="s">
        <v>46</v>
      </c>
      <c r="AW4" s="61"/>
      <c r="AX4" s="36"/>
      <c r="AY4" s="36" t="s">
        <v>255</v>
      </c>
      <c r="AZ4" s="56"/>
      <c r="BA4" s="61" t="s">
        <v>47</v>
      </c>
      <c r="BB4" s="61"/>
      <c r="BC4" s="61" t="s">
        <v>48</v>
      </c>
      <c r="BD4" s="61"/>
      <c r="BE4" s="61" t="s">
        <v>207</v>
      </c>
      <c r="BF4" s="61"/>
      <c r="BG4" s="61"/>
      <c r="BH4" s="61"/>
      <c r="BI4" s="61"/>
      <c r="BJ4" s="61"/>
      <c r="BK4" s="61"/>
      <c r="BL4" s="61"/>
      <c r="BM4" s="61"/>
      <c r="BN4" s="61" t="s">
        <v>49</v>
      </c>
      <c r="BO4" s="61"/>
      <c r="BP4" s="61"/>
      <c r="BQ4" s="61"/>
      <c r="BR4" s="36" t="s">
        <v>256</v>
      </c>
      <c r="BS4" s="61" t="s">
        <v>259</v>
      </c>
      <c r="BT4" s="61"/>
      <c r="BU4" s="61" t="s">
        <v>264</v>
      </c>
      <c r="BV4" s="61"/>
      <c r="BW4" s="61"/>
      <c r="BX4" s="61"/>
      <c r="BY4" s="61"/>
      <c r="BZ4" s="61"/>
      <c r="CA4" s="61" t="s">
        <v>267</v>
      </c>
      <c r="CB4" s="61"/>
      <c r="CC4" s="61" t="s">
        <v>296</v>
      </c>
      <c r="CD4" s="61"/>
      <c r="CE4" s="61"/>
      <c r="CF4" s="61"/>
      <c r="CG4" s="58" t="s">
        <v>300</v>
      </c>
      <c r="CH4" s="62"/>
      <c r="CI4" s="62"/>
      <c r="CJ4" s="62"/>
    </row>
    <row r="5" spans="1:88" x14ac:dyDescent="0.2">
      <c r="A5" s="37" t="s">
        <v>1</v>
      </c>
      <c r="B5" s="37" t="s">
        <v>205</v>
      </c>
      <c r="C5" s="37" t="s">
        <v>206</v>
      </c>
      <c r="D5" s="38" t="s">
        <v>0</v>
      </c>
      <c r="E5" s="38" t="s">
        <v>226</v>
      </c>
      <c r="F5" s="37" t="s">
        <v>2</v>
      </c>
      <c r="G5" s="38" t="s">
        <v>3</v>
      </c>
      <c r="H5" s="38" t="s">
        <v>257</v>
      </c>
      <c r="I5" s="38" t="s">
        <v>4</v>
      </c>
      <c r="J5" s="37" t="s">
        <v>5</v>
      </c>
      <c r="K5" s="38" t="s">
        <v>204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223</v>
      </c>
      <c r="AG5" s="37" t="s">
        <v>222</v>
      </c>
      <c r="AH5" s="37" t="s">
        <v>234</v>
      </c>
      <c r="AI5" s="37" t="s">
        <v>27</v>
      </c>
      <c r="AJ5" s="37" t="s">
        <v>221</v>
      </c>
      <c r="AK5" s="37" t="s">
        <v>220</v>
      </c>
      <c r="AL5" s="37" t="s">
        <v>219</v>
      </c>
      <c r="AM5" s="37" t="s">
        <v>218</v>
      </c>
      <c r="AN5" s="37" t="s">
        <v>217</v>
      </c>
      <c r="AO5" s="37" t="s">
        <v>216</v>
      </c>
      <c r="AP5" s="37" t="s">
        <v>29</v>
      </c>
      <c r="AQ5" s="37" t="s">
        <v>281</v>
      </c>
      <c r="AR5" s="37" t="s">
        <v>280</v>
      </c>
      <c r="AS5" s="37" t="s">
        <v>279</v>
      </c>
      <c r="AT5" s="37" t="s">
        <v>30</v>
      </c>
      <c r="AU5" s="37" t="s">
        <v>224</v>
      </c>
      <c r="AV5" s="37" t="s">
        <v>31</v>
      </c>
      <c r="AW5" s="37" t="s">
        <v>32</v>
      </c>
      <c r="AX5" s="37" t="s">
        <v>250</v>
      </c>
      <c r="AY5" s="37" t="s">
        <v>249</v>
      </c>
      <c r="AZ5" s="37" t="s">
        <v>283</v>
      </c>
      <c r="BA5" s="37" t="s">
        <v>33</v>
      </c>
      <c r="BB5" s="37" t="s">
        <v>34</v>
      </c>
      <c r="BC5" s="37" t="s">
        <v>35</v>
      </c>
      <c r="BD5" s="37" t="s">
        <v>36</v>
      </c>
      <c r="BE5" s="37" t="s">
        <v>208</v>
      </c>
      <c r="BF5" s="37" t="s">
        <v>215</v>
      </c>
      <c r="BG5" s="37" t="s">
        <v>214</v>
      </c>
      <c r="BH5" s="37" t="s">
        <v>213</v>
      </c>
      <c r="BI5" s="37" t="s">
        <v>212</v>
      </c>
      <c r="BJ5" s="37" t="s">
        <v>268</v>
      </c>
      <c r="BK5" s="37" t="s">
        <v>211</v>
      </c>
      <c r="BL5" s="37" t="s">
        <v>210</v>
      </c>
      <c r="BM5" s="37" t="s">
        <v>209</v>
      </c>
      <c r="BN5" s="37" t="s">
        <v>295</v>
      </c>
      <c r="BO5" s="37" t="s">
        <v>292</v>
      </c>
      <c r="BP5" s="37" t="s">
        <v>293</v>
      </c>
      <c r="BQ5" s="37" t="s">
        <v>291</v>
      </c>
      <c r="BR5" s="37" t="s">
        <v>248</v>
      </c>
      <c r="BS5" s="37" t="s">
        <v>244</v>
      </c>
      <c r="BT5" s="37" t="s">
        <v>245</v>
      </c>
      <c r="BU5" s="37" t="s">
        <v>246</v>
      </c>
      <c r="BV5" s="37" t="s">
        <v>247</v>
      </c>
      <c r="BW5" s="37" t="s">
        <v>260</v>
      </c>
      <c r="BX5" s="37" t="s">
        <v>261</v>
      </c>
      <c r="BY5" s="37" t="s">
        <v>262</v>
      </c>
      <c r="BZ5" s="37" t="s">
        <v>263</v>
      </c>
      <c r="CA5" s="37" t="s">
        <v>265</v>
      </c>
      <c r="CB5" s="37" t="s">
        <v>266</v>
      </c>
      <c r="CC5" s="37" t="s">
        <v>297</v>
      </c>
      <c r="CD5" s="37" t="s">
        <v>298</v>
      </c>
      <c r="CE5" s="37" t="s">
        <v>299</v>
      </c>
      <c r="CF5" s="37" t="s">
        <v>301</v>
      </c>
      <c r="CG5" s="37" t="s">
        <v>302</v>
      </c>
    </row>
    <row r="6" spans="1:88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172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0"/>
      <c r="BE6" s="16"/>
      <c r="BF6" s="10" t="str">
        <f t="shared" ref="BF6:BF23" si="3"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Q6" s="10"/>
      <c r="BR6" s="35"/>
      <c r="BS6" s="12"/>
      <c r="BT6" s="35"/>
      <c r="BU6" s="35"/>
      <c r="BV6" s="35"/>
      <c r="BW6" s="35"/>
      <c r="BX6" s="35"/>
      <c r="BY6" s="35"/>
      <c r="BZ6" s="35"/>
      <c r="CA6" s="35"/>
      <c r="CB6" s="35"/>
    </row>
    <row r="7" spans="1:88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163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55"/>
      <c r="BA7" s="10"/>
      <c r="BB7" s="10"/>
      <c r="BC7" s="10"/>
      <c r="BD7" s="10"/>
      <c r="BE7" s="16"/>
      <c r="BF7" s="10" t="str">
        <f t="shared" si="3"/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10"/>
      <c r="BR7" s="35"/>
      <c r="BS7" s="12"/>
      <c r="BT7" s="35"/>
      <c r="BU7" s="35"/>
      <c r="BV7" s="35"/>
      <c r="BW7" s="35"/>
      <c r="BX7" s="35"/>
      <c r="BY7" s="35"/>
      <c r="BZ7" s="35"/>
      <c r="CA7" s="35"/>
      <c r="CB7" s="35"/>
    </row>
    <row r="8" spans="1:88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184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0"/>
      <c r="BE8" s="16"/>
      <c r="BF8" s="10" t="str">
        <f t="shared" si="3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10"/>
      <c r="BR8" s="35"/>
      <c r="BS8" s="12"/>
      <c r="BT8" s="35"/>
      <c r="BU8" s="35"/>
      <c r="BV8" s="35"/>
      <c r="BW8" s="35"/>
      <c r="BX8" s="35"/>
      <c r="BY8" s="35"/>
      <c r="BZ8" s="35"/>
      <c r="CA8" s="35"/>
      <c r="CB8" s="35"/>
    </row>
    <row r="9" spans="1:88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185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0"/>
      <c r="BE9" s="16"/>
      <c r="BF9" s="10" t="str">
        <f t="shared" si="3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10"/>
      <c r="BR9" s="35"/>
      <c r="BS9" s="12"/>
      <c r="BT9" s="35"/>
      <c r="BU9" s="35"/>
      <c r="BV9" s="35"/>
      <c r="BW9" s="35"/>
      <c r="BX9" s="35"/>
      <c r="BY9" s="35"/>
      <c r="BZ9" s="35"/>
      <c r="CA9" s="35"/>
      <c r="CB9" s="35"/>
    </row>
    <row r="10" spans="1:88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189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0"/>
      <c r="BE10" s="16"/>
      <c r="BF10" s="10" t="str">
        <f t="shared" si="3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10"/>
      <c r="BR10" s="35"/>
      <c r="BS10" s="12"/>
      <c r="BT10" s="35"/>
      <c r="BU10" s="35"/>
      <c r="BV10" s="35"/>
      <c r="BW10" s="35"/>
      <c r="BX10" s="35"/>
      <c r="BY10" s="35"/>
      <c r="BZ10" s="35"/>
      <c r="CA10" s="35"/>
      <c r="CB10" s="35"/>
    </row>
    <row r="11" spans="1:88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185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0"/>
      <c r="BE11" s="16"/>
      <c r="BF11" s="10" t="str">
        <f t="shared" si="3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10"/>
      <c r="BR11" s="35"/>
      <c r="BS11" s="12"/>
      <c r="BT11" s="35"/>
      <c r="BU11" s="35"/>
      <c r="BV11" s="35"/>
      <c r="BW11" s="35"/>
      <c r="BX11" s="35"/>
      <c r="BY11" s="35"/>
      <c r="BZ11" s="35"/>
      <c r="CA11" s="35"/>
      <c r="CB11" s="35"/>
    </row>
    <row r="12" spans="1:88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187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0"/>
      <c r="BE12" s="16"/>
      <c r="BF12" s="10" t="str">
        <f t="shared" si="3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10"/>
      <c r="BR12" s="35"/>
      <c r="BS12" s="12"/>
      <c r="BT12" s="35"/>
      <c r="BU12" s="35"/>
      <c r="BV12" s="35"/>
      <c r="BW12" s="35"/>
      <c r="BX12" s="35"/>
      <c r="BY12" s="35"/>
      <c r="BZ12" s="35"/>
      <c r="CA12" s="35"/>
      <c r="CB12" s="35"/>
    </row>
    <row r="13" spans="1:88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197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0"/>
      <c r="BE13" s="16"/>
      <c r="BF13" s="10" t="str">
        <f t="shared" si="3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10"/>
      <c r="BR13" s="35"/>
      <c r="BS13" s="12"/>
      <c r="BT13" s="35"/>
      <c r="BU13" s="35"/>
      <c r="BV13" s="35"/>
      <c r="BW13" s="35"/>
      <c r="BX13" s="35"/>
      <c r="BY13" s="35"/>
      <c r="BZ13" s="35"/>
      <c r="CA13" s="35"/>
      <c r="CB13" s="35"/>
    </row>
    <row r="14" spans="1:88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182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0"/>
      <c r="BE14" s="16"/>
      <c r="BF14" s="10" t="str">
        <f t="shared" si="3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10"/>
      <c r="BR14" s="35"/>
      <c r="BS14" s="12"/>
      <c r="BT14" s="35"/>
      <c r="BU14" s="35"/>
      <c r="BV14" s="35"/>
      <c r="BW14" s="35"/>
      <c r="BX14" s="35"/>
      <c r="BY14" s="35"/>
      <c r="BZ14" s="35"/>
      <c r="CA14" s="35"/>
      <c r="CB14" s="35"/>
    </row>
    <row r="15" spans="1:88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183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0"/>
      <c r="BE15" s="16"/>
      <c r="BF15" s="10" t="str">
        <f t="shared" si="3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10"/>
      <c r="BR15" s="35"/>
      <c r="BS15" s="12"/>
      <c r="BT15" s="35"/>
      <c r="BU15" s="35"/>
      <c r="BV15" s="35"/>
      <c r="BW15" s="35"/>
      <c r="BX15" s="35"/>
      <c r="BY15" s="35"/>
      <c r="BZ15" s="35"/>
      <c r="CA15" s="35"/>
      <c r="CB15" s="35"/>
    </row>
    <row r="16" spans="1:88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273</v>
      </c>
      <c r="AV16" s="40"/>
      <c r="AW16" s="39"/>
      <c r="AX16" s="39"/>
      <c r="AY16" s="10"/>
      <c r="AZ16" s="10"/>
      <c r="BA16" s="10"/>
      <c r="BB16" s="10"/>
      <c r="BC16" s="10"/>
      <c r="BD16" s="10"/>
      <c r="BE16" s="16"/>
      <c r="BF16" s="10" t="str">
        <f t="shared" si="3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35"/>
      <c r="BS16" s="16"/>
      <c r="BT16" s="10"/>
      <c r="BU16" s="10"/>
      <c r="BV16" s="35"/>
      <c r="BW16" s="35"/>
      <c r="BX16" s="35"/>
      <c r="BY16" s="35"/>
      <c r="BZ16" s="35"/>
      <c r="CA16" s="35"/>
      <c r="CB16" s="35"/>
    </row>
    <row r="17" spans="1:85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251</v>
      </c>
      <c r="AY17" s="39"/>
      <c r="AZ17" s="39"/>
      <c r="BA17" s="8"/>
      <c r="BB17" s="8"/>
      <c r="BC17" s="39"/>
      <c r="BD17" s="39"/>
      <c r="BE17" s="40"/>
      <c r="BF17" s="39" t="str">
        <f t="shared" si="3"/>
        <v/>
      </c>
      <c r="BG17" s="39"/>
      <c r="BH17" s="39"/>
      <c r="BI17" s="39"/>
      <c r="BJ17" s="39"/>
      <c r="BK17" s="39"/>
      <c r="BL17" s="39"/>
      <c r="BM17" s="39"/>
      <c r="BN17" s="16"/>
      <c r="BO17" s="10"/>
      <c r="BP17" s="10"/>
      <c r="BQ17" s="10"/>
      <c r="BR17" s="35"/>
      <c r="BS17" s="16"/>
      <c r="BT17" s="10"/>
      <c r="BU17" s="10"/>
      <c r="BV17" s="35"/>
      <c r="BW17" s="35"/>
      <c r="BX17" s="35"/>
      <c r="BY17" s="35"/>
      <c r="BZ17" s="35"/>
      <c r="CA17" s="35"/>
      <c r="CB17" s="35"/>
    </row>
    <row r="18" spans="1:85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252</v>
      </c>
      <c r="AY18" s="8"/>
      <c r="AZ18" s="8"/>
      <c r="BA18" s="39"/>
      <c r="BB18" s="39"/>
      <c r="BC18" s="39"/>
      <c r="BD18" s="39"/>
      <c r="BE18" s="40"/>
      <c r="BF18" s="39" t="str">
        <f t="shared" si="3"/>
        <v/>
      </c>
      <c r="BG18" s="39"/>
      <c r="BH18" s="39"/>
      <c r="BI18" s="39"/>
      <c r="BJ18" s="39"/>
      <c r="BK18" s="39"/>
      <c r="BL18" s="39"/>
      <c r="BM18" s="39"/>
      <c r="BN18" s="16"/>
      <c r="BO18" s="10"/>
      <c r="BP18" s="10"/>
      <c r="BQ18" s="10"/>
      <c r="BR18" s="35"/>
      <c r="BS18" s="16"/>
      <c r="BT18" s="10"/>
      <c r="BU18" s="10"/>
      <c r="BV18" s="35"/>
      <c r="BW18" s="35"/>
      <c r="BX18" s="35"/>
      <c r="BY18" s="35"/>
      <c r="BZ18" s="35"/>
      <c r="CA18" s="35"/>
      <c r="CB18" s="35"/>
    </row>
    <row r="19" spans="1:85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225</v>
      </c>
      <c r="AV19" s="17"/>
      <c r="AW19" s="8"/>
      <c r="AX19" s="8"/>
      <c r="AY19" s="8"/>
      <c r="AZ19" s="8"/>
      <c r="BA19" s="8"/>
      <c r="BB19" s="8"/>
      <c r="BC19" s="8"/>
      <c r="BD19" s="8"/>
      <c r="BE19" s="17"/>
      <c r="BF19" s="8" t="str">
        <f t="shared" si="3"/>
        <v/>
      </c>
      <c r="BG19" s="8"/>
      <c r="BH19" s="8"/>
      <c r="BI19" s="8"/>
      <c r="BJ19" s="8"/>
      <c r="BK19" s="8"/>
      <c r="BL19" s="8"/>
      <c r="BM19" s="8"/>
      <c r="BN19" s="40"/>
      <c r="BO19" s="39"/>
      <c r="BP19" s="39"/>
      <c r="BQ19" s="39"/>
      <c r="BR19" s="35"/>
      <c r="BS19" s="16"/>
      <c r="BT19" s="10"/>
      <c r="BU19" s="10"/>
      <c r="BV19" s="35"/>
      <c r="BW19" s="35"/>
      <c r="BX19" s="35"/>
      <c r="BY19" s="35"/>
      <c r="BZ19" s="35"/>
      <c r="CA19" s="35"/>
      <c r="CB19" s="35"/>
    </row>
    <row r="20" spans="1:85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186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8"/>
      <c r="BE20" s="17"/>
      <c r="BF20" s="8" t="str">
        <f t="shared" si="3"/>
        <v/>
      </c>
      <c r="BG20" s="8"/>
      <c r="BH20" s="8"/>
      <c r="BI20" s="8"/>
      <c r="BJ20" s="8"/>
      <c r="BK20" s="8"/>
      <c r="BL20" s="8"/>
      <c r="BM20" s="8"/>
      <c r="BN20" s="17"/>
      <c r="BO20" s="8"/>
      <c r="BP20" s="8"/>
      <c r="BQ20" s="8"/>
      <c r="BR20" s="39"/>
      <c r="BS20" s="16"/>
      <c r="BT20" s="10"/>
      <c r="BU20" s="10"/>
      <c r="BV20" s="35"/>
      <c r="BW20" s="35"/>
      <c r="BX20" s="35"/>
      <c r="BY20" s="35"/>
      <c r="BZ20" s="35"/>
      <c r="CA20" s="35"/>
      <c r="CB20" s="35"/>
    </row>
    <row r="21" spans="1:85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198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8"/>
      <c r="BE21" s="17"/>
      <c r="BF21" s="8" t="str">
        <f t="shared" si="3"/>
        <v/>
      </c>
      <c r="BG21" s="8"/>
      <c r="BH21" s="8"/>
      <c r="BI21" s="8"/>
      <c r="BJ21" s="8"/>
      <c r="BK21" s="8"/>
      <c r="BL21" s="8"/>
      <c r="BM21" s="8"/>
      <c r="BN21" s="17"/>
      <c r="BO21" s="8"/>
      <c r="BP21" s="8"/>
      <c r="BQ21" s="8"/>
      <c r="BR21" s="8"/>
      <c r="BS21" s="40"/>
      <c r="BT21" s="39"/>
      <c r="BU21" s="10"/>
      <c r="BV21" s="35"/>
      <c r="BW21" s="35"/>
      <c r="BX21" s="35"/>
      <c r="BY21" s="35"/>
      <c r="BZ21" s="35"/>
      <c r="CA21" s="35"/>
      <c r="CB21" s="35"/>
    </row>
    <row r="22" spans="1:85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6"/>
      <c r="BE22" s="48"/>
      <c r="BF22" s="46" t="str">
        <f t="shared" si="3"/>
        <v/>
      </c>
      <c r="BG22" s="46"/>
      <c r="BH22" s="46"/>
      <c r="BI22" s="46"/>
      <c r="BJ22" s="46"/>
      <c r="BK22" s="46"/>
      <c r="BL22" s="46"/>
      <c r="BM22" s="46"/>
      <c r="BN22" s="48"/>
      <c r="BO22" s="46"/>
      <c r="BP22" s="46"/>
      <c r="BQ22" s="46"/>
      <c r="BR22" s="46"/>
      <c r="BS22" s="48"/>
      <c r="BT22" s="8" t="s">
        <v>202</v>
      </c>
      <c r="BU22" s="39"/>
      <c r="BV22" s="39"/>
      <c r="BW22" s="39"/>
      <c r="BX22" s="39"/>
      <c r="BY22" s="39"/>
      <c r="BZ22" s="39"/>
      <c r="CA22" s="35"/>
      <c r="CB22" s="35"/>
    </row>
    <row r="23" spans="1:85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6"/>
      <c r="BE23" s="48"/>
      <c r="BF23" s="46" t="str">
        <f t="shared" si="3"/>
        <v/>
      </c>
      <c r="BG23" s="46"/>
      <c r="BH23" s="46"/>
      <c r="BI23" s="46"/>
      <c r="BJ23" s="46"/>
      <c r="BK23" s="46"/>
      <c r="BL23" s="46"/>
      <c r="BM23" s="46"/>
      <c r="BN23" s="48"/>
      <c r="BO23" s="46"/>
      <c r="BP23" s="46"/>
      <c r="BQ23" s="46"/>
      <c r="BR23" s="46"/>
      <c r="BS23" s="48"/>
      <c r="BT23" s="8" t="s">
        <v>203</v>
      </c>
      <c r="BU23" s="8"/>
      <c r="BV23" s="8"/>
      <c r="BW23" s="8"/>
      <c r="BX23" s="8"/>
      <c r="BY23" s="8"/>
      <c r="BZ23" s="8"/>
      <c r="CA23" s="39"/>
      <c r="CB23" s="39"/>
    </row>
    <row r="24" spans="1:85" x14ac:dyDescent="0.2">
      <c r="A24" s="45" t="str">
        <f ca="1">IF($D24="", "", INDIRECT("$D32"))</f>
        <v/>
      </c>
      <c r="B24" s="45"/>
      <c r="C24" s="45"/>
      <c r="D24" s="46"/>
      <c r="E24" s="47"/>
      <c r="F24" s="46" t="str">
        <f t="shared" ref="F24:F62" si="5">IF(OR($G24="Primary Debulking", $G24="Laparoscopic Biopsy"), "0", IF($G24="Interval Debulking", "1", ""))</f>
        <v/>
      </c>
      <c r="G24" s="46"/>
      <c r="H24" s="48"/>
      <c r="I24" s="46"/>
      <c r="J24" s="46" t="str">
        <f t="shared" ref="J24:J62" si="6">IF($D24="", "", "Main")</f>
        <v/>
      </c>
      <c r="K24" s="46"/>
      <c r="L24" s="46"/>
      <c r="M24" s="46"/>
      <c r="N24" s="46"/>
      <c r="O24" s="46"/>
      <c r="P24" s="48" t="str">
        <f ca="1">IF($H24="", "", INDIRECT("$H32"))</f>
        <v/>
      </c>
      <c r="Q24" s="48"/>
      <c r="R24" s="46"/>
      <c r="S24" s="46"/>
      <c r="T24" s="46"/>
      <c r="U24" s="49"/>
      <c r="V24" s="49"/>
      <c r="W24" s="46"/>
      <c r="X24" s="46"/>
      <c r="Y24" s="46"/>
      <c r="Z24" s="46"/>
      <c r="AA24" s="46"/>
      <c r="AB24" s="46"/>
      <c r="AC24" s="46"/>
      <c r="AD24" s="46"/>
      <c r="AE24" s="46"/>
      <c r="AF24" s="48" t="str">
        <f ca="1">IF($H24="", "", INDIRECT("$H32"))</f>
        <v/>
      </c>
      <c r="AG24" s="46" t="str">
        <f t="shared" ref="AG24:AG63" ca="1" si="7">IF($AF24="", "", "IGO")</f>
        <v/>
      </c>
      <c r="AH24" s="46"/>
      <c r="AI24" s="46" t="str">
        <f t="shared" ref="AI24:AI62" ca="1" si="8">IF($AF24="", "", "5000")</f>
        <v/>
      </c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8" t="s">
        <v>284</v>
      </c>
      <c r="AV24" s="17"/>
      <c r="AW24" s="8"/>
      <c r="AX24" s="8"/>
      <c r="AY24" s="8"/>
      <c r="AZ24" s="8"/>
      <c r="BA24" s="8"/>
      <c r="BB24" s="8"/>
      <c r="BC24" s="8"/>
      <c r="BD24" s="8"/>
      <c r="BE24" s="17"/>
      <c r="BF24" s="8" t="str">
        <f t="shared" ref="BF24:BF62" si="9">IF($BE24="", "", "IGO")</f>
        <v/>
      </c>
      <c r="BG24" s="8"/>
      <c r="BH24" s="8"/>
      <c r="BI24" s="8"/>
      <c r="BJ24" s="8"/>
      <c r="BK24" s="8"/>
      <c r="BL24" s="8"/>
      <c r="BM24" s="8"/>
      <c r="BN24" s="40"/>
      <c r="BO24" s="39"/>
      <c r="BP24" s="39"/>
      <c r="BQ24" s="39"/>
      <c r="BR24" s="57"/>
      <c r="BS24" s="16"/>
      <c r="BT24" s="10"/>
      <c r="BU24" s="10"/>
      <c r="BV24" s="57"/>
      <c r="BW24" s="57"/>
      <c r="BX24" s="57"/>
      <c r="BY24" s="57"/>
      <c r="BZ24" s="57"/>
      <c r="CA24" s="57"/>
      <c r="CB24" s="57"/>
    </row>
    <row r="25" spans="1:85" x14ac:dyDescent="0.2">
      <c r="A25" s="46" t="str">
        <f ca="1">IF($D25="", "", INDIRECT("$D33"))</f>
        <v/>
      </c>
      <c r="B25" s="46"/>
      <c r="C25" s="46"/>
      <c r="D25" s="46"/>
      <c r="E25" s="46"/>
      <c r="F25" s="46" t="str">
        <f t="shared" si="5"/>
        <v/>
      </c>
      <c r="G25" s="46"/>
      <c r="H25" s="46"/>
      <c r="I25" s="46"/>
      <c r="J25" s="46" t="str">
        <f t="shared" si="6"/>
        <v/>
      </c>
      <c r="K25" s="46"/>
      <c r="L25" s="46"/>
      <c r="M25" s="46"/>
      <c r="N25" s="46"/>
      <c r="O25" s="46"/>
      <c r="P25" s="46" t="str">
        <f ca="1">IF($H25="", "", INDIRECT("$H33"))</f>
        <v/>
      </c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 t="str">
        <f ca="1">IF($H25="", "", INDIRECT("$H33"))</f>
        <v/>
      </c>
      <c r="AG25" s="46" t="str">
        <f t="shared" ca="1" si="7"/>
        <v/>
      </c>
      <c r="AH25" s="46"/>
      <c r="AI25" s="46" t="str">
        <f t="shared" ca="1" si="8"/>
        <v/>
      </c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 t="str">
        <f t="shared" si="9"/>
        <v/>
      </c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8" t="s">
        <v>290</v>
      </c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39"/>
      <c r="CD25" s="39"/>
      <c r="CE25" s="39"/>
      <c r="CF25" s="39"/>
    </row>
    <row r="26" spans="1:85" x14ac:dyDescent="0.2">
      <c r="A26" s="46" t="str">
        <f ca="1">IF($D26="", "", INDIRECT("$D33"))</f>
        <v/>
      </c>
      <c r="B26" s="46"/>
      <c r="C26" s="46"/>
      <c r="D26" s="46"/>
      <c r="E26" s="46"/>
      <c r="F26" s="46" t="str">
        <f t="shared" si="5"/>
        <v/>
      </c>
      <c r="G26" s="46"/>
      <c r="H26" s="46"/>
      <c r="I26" s="46"/>
      <c r="J26" s="46" t="str">
        <f t="shared" si="6"/>
        <v/>
      </c>
      <c r="K26" s="46"/>
      <c r="L26" s="46"/>
      <c r="M26" s="46"/>
      <c r="N26" s="46"/>
      <c r="O26" s="46"/>
      <c r="P26" s="46" t="str">
        <f ca="1">IF($H26="", "", INDIRECT("$H33"))</f>
        <v/>
      </c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 t="str">
        <f ca="1">IF($H26="", "", INDIRECT("$H33"))</f>
        <v/>
      </c>
      <c r="AG26" s="46" t="str">
        <f t="shared" ca="1" si="7"/>
        <v/>
      </c>
      <c r="AH26" s="46"/>
      <c r="AI26" s="46" t="str">
        <f t="shared" ca="1" si="8"/>
        <v/>
      </c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 t="str">
        <f t="shared" si="9"/>
        <v/>
      </c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8" t="s">
        <v>289</v>
      </c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39"/>
    </row>
    <row r="27" spans="1:85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0"/>
      <c r="BE27" s="16"/>
      <c r="BF27" s="10" t="str">
        <f t="shared" si="9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35"/>
      <c r="BS27" s="16"/>
      <c r="BT27" s="10"/>
      <c r="BU27" s="10"/>
      <c r="BV27" s="35"/>
      <c r="BW27" s="35"/>
      <c r="BX27" s="35"/>
      <c r="BY27" s="35"/>
      <c r="BZ27" s="35"/>
      <c r="CA27" s="35"/>
      <c r="CB27" s="35"/>
    </row>
    <row r="28" spans="1:85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0"/>
      <c r="BE28" s="16"/>
      <c r="BF28" s="10" t="str">
        <f t="shared" si="9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35"/>
      <c r="BS28" s="16"/>
      <c r="BT28" s="10"/>
      <c r="BU28" s="10"/>
      <c r="BV28" s="35"/>
      <c r="BW28" s="35"/>
      <c r="BX28" s="35"/>
      <c r="BY28" s="35"/>
      <c r="BZ28" s="35"/>
      <c r="CA28" s="35"/>
      <c r="CB28" s="35"/>
    </row>
    <row r="29" spans="1:85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0"/>
      <c r="BE29" s="16"/>
      <c r="BF29" s="10" t="str">
        <f t="shared" si="9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35"/>
      <c r="BS29" s="16"/>
      <c r="BT29" s="10"/>
      <c r="BU29" s="10"/>
      <c r="BV29" s="35"/>
      <c r="BW29" s="35"/>
      <c r="BX29" s="35"/>
      <c r="BY29" s="35"/>
      <c r="BZ29" s="35"/>
      <c r="CA29" s="35"/>
      <c r="CB29" s="35"/>
    </row>
    <row r="30" spans="1:85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0"/>
      <c r="BE30" s="16"/>
      <c r="BF30" s="10" t="str">
        <f t="shared" si="9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35"/>
      <c r="BS30" s="16"/>
      <c r="BT30" s="10"/>
      <c r="BU30" s="10"/>
      <c r="BV30" s="35"/>
      <c r="BW30" s="35"/>
      <c r="BX30" s="35"/>
      <c r="BY30" s="35"/>
      <c r="BZ30" s="35"/>
      <c r="CA30" s="35"/>
      <c r="CB30" s="35"/>
    </row>
    <row r="31" spans="1:85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0"/>
      <c r="BE31" s="16"/>
      <c r="BF31" s="10" t="str">
        <f t="shared" si="9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6"/>
      <c r="BT31" s="10"/>
      <c r="BU31" s="10"/>
      <c r="BV31" s="35"/>
      <c r="BW31" s="35"/>
      <c r="BX31" s="35"/>
      <c r="BY31" s="35"/>
      <c r="BZ31" s="35"/>
      <c r="CA31" s="35"/>
      <c r="CB31" s="35"/>
    </row>
    <row r="32" spans="1:85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0"/>
      <c r="BE32" s="16"/>
      <c r="BF32" s="10" t="str">
        <f t="shared" si="9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6"/>
      <c r="BT32" s="10"/>
      <c r="BU32" s="10"/>
      <c r="BV32" s="35"/>
      <c r="BW32" s="35"/>
      <c r="BX32" s="35"/>
      <c r="BY32" s="35"/>
      <c r="BZ32" s="35"/>
      <c r="CA32" s="35"/>
      <c r="CB32" s="35"/>
    </row>
    <row r="33" spans="1:80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0"/>
      <c r="BE33" s="16"/>
      <c r="BF33" s="10" t="str">
        <f t="shared" si="9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6"/>
      <c r="BT33" s="10"/>
      <c r="BU33" s="10"/>
      <c r="BV33" s="35"/>
      <c r="BW33" s="35"/>
      <c r="BX33" s="35"/>
      <c r="BY33" s="35"/>
      <c r="BZ33" s="35"/>
      <c r="CA33" s="35"/>
      <c r="CB33" s="35"/>
    </row>
    <row r="34" spans="1:80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0"/>
      <c r="BE34" s="16"/>
      <c r="BF34" s="10" t="str">
        <f t="shared" si="9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6"/>
      <c r="BT34" s="10"/>
      <c r="BU34" s="10"/>
      <c r="BV34" s="35"/>
      <c r="BW34" s="35"/>
      <c r="BX34" s="35"/>
      <c r="BY34" s="35"/>
      <c r="BZ34" s="35"/>
      <c r="CA34" s="35"/>
      <c r="CB34" s="35"/>
    </row>
    <row r="35" spans="1:80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0"/>
      <c r="BE35" s="16"/>
      <c r="BF35" s="10" t="str">
        <f t="shared" si="9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6"/>
      <c r="BT35" s="10"/>
      <c r="BU35" s="10"/>
      <c r="BV35" s="35"/>
      <c r="BW35" s="35"/>
      <c r="BX35" s="35"/>
      <c r="BY35" s="35"/>
      <c r="BZ35" s="35"/>
      <c r="CA35" s="35"/>
      <c r="CB35" s="35"/>
    </row>
    <row r="36" spans="1:80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0"/>
      <c r="BE36" s="16"/>
      <c r="BF36" s="10" t="str">
        <f t="shared" si="9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6"/>
      <c r="BT36" s="10"/>
      <c r="BU36" s="10"/>
      <c r="BV36" s="35"/>
      <c r="BW36" s="35"/>
      <c r="BX36" s="35"/>
      <c r="BY36" s="35"/>
      <c r="BZ36" s="35"/>
      <c r="CA36" s="35"/>
      <c r="CB36" s="35"/>
    </row>
    <row r="37" spans="1:80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0"/>
      <c r="BE37" s="16"/>
      <c r="BF37" s="10" t="str">
        <f t="shared" si="9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6"/>
      <c r="BT37" s="10"/>
      <c r="BU37" s="10"/>
      <c r="BV37" s="35"/>
      <c r="BW37" s="35"/>
      <c r="BX37" s="35"/>
      <c r="BY37" s="35"/>
      <c r="BZ37" s="35"/>
      <c r="CA37" s="35"/>
      <c r="CB37" s="35"/>
    </row>
    <row r="38" spans="1:80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0"/>
      <c r="BE38" s="16"/>
      <c r="BF38" s="10" t="str">
        <f t="shared" si="9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6"/>
      <c r="BT38" s="10"/>
      <c r="BU38" s="10"/>
      <c r="BV38" s="35"/>
      <c r="BW38" s="35"/>
      <c r="BX38" s="35"/>
      <c r="BY38" s="35"/>
      <c r="BZ38" s="35"/>
      <c r="CA38" s="35"/>
      <c r="CB38" s="35"/>
    </row>
    <row r="39" spans="1:80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0"/>
      <c r="BE39" s="16"/>
      <c r="BF39" s="10" t="str">
        <f t="shared" si="9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6"/>
      <c r="BT39" s="10"/>
      <c r="BU39" s="10"/>
      <c r="BV39" s="35"/>
      <c r="BW39" s="35"/>
      <c r="BX39" s="35"/>
      <c r="BY39" s="35"/>
      <c r="BZ39" s="35"/>
      <c r="CA39" s="35"/>
      <c r="CB39" s="35"/>
    </row>
    <row r="40" spans="1:80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0"/>
      <c r="BE40" s="16"/>
      <c r="BF40" s="10" t="str">
        <f t="shared" si="9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6"/>
      <c r="BT40" s="10"/>
      <c r="BU40" s="10"/>
      <c r="BV40" s="35"/>
      <c r="BW40" s="35"/>
      <c r="BX40" s="35"/>
      <c r="BY40" s="35"/>
      <c r="BZ40" s="35"/>
      <c r="CA40" s="35"/>
      <c r="CB40" s="35"/>
    </row>
    <row r="41" spans="1:80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0"/>
      <c r="BE41" s="16"/>
      <c r="BF41" s="10" t="str">
        <f t="shared" si="9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6"/>
      <c r="BT41" s="10"/>
      <c r="BU41" s="10"/>
      <c r="BV41" s="35"/>
      <c r="BW41" s="35"/>
      <c r="BX41" s="35"/>
      <c r="BY41" s="35"/>
      <c r="BZ41" s="35"/>
      <c r="CA41" s="35"/>
      <c r="CB41" s="35"/>
    </row>
    <row r="42" spans="1:80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0"/>
      <c r="BE42" s="16"/>
      <c r="BF42" s="10" t="str">
        <f t="shared" si="9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6"/>
      <c r="BT42" s="10"/>
      <c r="BU42" s="10"/>
      <c r="BV42" s="35"/>
      <c r="BW42" s="35"/>
      <c r="BX42" s="35"/>
      <c r="BY42" s="35"/>
      <c r="BZ42" s="35"/>
      <c r="CA42" s="35"/>
      <c r="CB42" s="35"/>
    </row>
    <row r="43" spans="1:80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0"/>
      <c r="BE43" s="16"/>
      <c r="BF43" s="10" t="str">
        <f t="shared" si="9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6"/>
      <c r="BT43" s="10"/>
      <c r="BU43" s="10"/>
      <c r="BV43" s="35"/>
      <c r="BW43" s="35"/>
      <c r="BX43" s="35"/>
      <c r="BY43" s="35"/>
      <c r="BZ43" s="35"/>
      <c r="CA43" s="35"/>
      <c r="CB43" s="35"/>
    </row>
    <row r="44" spans="1:80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0"/>
      <c r="BE44" s="16"/>
      <c r="BF44" s="10" t="str">
        <f t="shared" si="9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6"/>
      <c r="BT44" s="10"/>
      <c r="BU44" s="10"/>
      <c r="BV44" s="35"/>
      <c r="BW44" s="35"/>
      <c r="BX44" s="35"/>
      <c r="BY44" s="35"/>
      <c r="BZ44" s="35"/>
      <c r="CA44" s="35"/>
      <c r="CB44" s="35"/>
    </row>
    <row r="45" spans="1:80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0"/>
      <c r="BE45" s="16"/>
      <c r="BF45" s="10" t="str">
        <f t="shared" si="9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6"/>
      <c r="BT45" s="10"/>
      <c r="BU45" s="10"/>
      <c r="BV45" s="35"/>
      <c r="BW45" s="35"/>
      <c r="BX45" s="35"/>
      <c r="BY45" s="35"/>
      <c r="BZ45" s="35"/>
      <c r="CA45" s="35"/>
      <c r="CB45" s="35"/>
    </row>
    <row r="46" spans="1:80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/>
      <c r="BF46" s="10" t="str">
        <f t="shared" si="9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6"/>
      <c r="BT46" s="10"/>
      <c r="BU46" s="10"/>
      <c r="BV46" s="35"/>
      <c r="BW46" s="35"/>
      <c r="BX46" s="35"/>
      <c r="BY46" s="35"/>
      <c r="BZ46" s="35"/>
      <c r="CA46" s="35"/>
      <c r="CB46" s="35"/>
    </row>
    <row r="47" spans="1:80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/>
      <c r="BF47" s="10" t="str">
        <f t="shared" si="9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6"/>
      <c r="BT47" s="10"/>
      <c r="BU47" s="10"/>
      <c r="BV47" s="35"/>
      <c r="BW47" s="35"/>
      <c r="BX47" s="35"/>
      <c r="BY47" s="35"/>
      <c r="BZ47" s="35"/>
      <c r="CA47" s="35"/>
      <c r="CB47" s="35"/>
    </row>
    <row r="48" spans="1:80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0"/>
      <c r="BE48" s="16"/>
      <c r="BF48" s="10" t="str">
        <f t="shared" si="9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6"/>
      <c r="BT48" s="10"/>
      <c r="BU48" s="10"/>
      <c r="BV48" s="35"/>
      <c r="BW48" s="35"/>
      <c r="BX48" s="35"/>
      <c r="BY48" s="35"/>
      <c r="BZ48" s="35"/>
      <c r="CA48" s="35"/>
      <c r="CB48" s="35"/>
    </row>
    <row r="49" spans="1:80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0"/>
      <c r="BE49" s="16"/>
      <c r="BF49" s="10" t="str">
        <f t="shared" si="9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6"/>
      <c r="BT49" s="10"/>
      <c r="BU49" s="10"/>
      <c r="BV49" s="35"/>
      <c r="BW49" s="35"/>
      <c r="BX49" s="35"/>
      <c r="BY49" s="35"/>
      <c r="BZ49" s="35"/>
      <c r="CA49" s="35"/>
      <c r="CB49" s="35"/>
    </row>
    <row r="50" spans="1:80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0"/>
      <c r="BE50" s="16"/>
      <c r="BF50" s="10" t="str">
        <f t="shared" si="9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6"/>
      <c r="BT50" s="10"/>
      <c r="BU50" s="10"/>
      <c r="BV50" s="35"/>
      <c r="BW50" s="35"/>
      <c r="BX50" s="35"/>
      <c r="BY50" s="35"/>
      <c r="BZ50" s="35"/>
      <c r="CA50" s="35"/>
      <c r="CB50" s="35"/>
    </row>
    <row r="51" spans="1:80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0"/>
      <c r="BE51" s="16"/>
      <c r="BF51" s="10" t="str">
        <f t="shared" si="9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6"/>
      <c r="BT51" s="10"/>
      <c r="BU51" s="10"/>
      <c r="BV51" s="35"/>
      <c r="BW51" s="35"/>
      <c r="BX51" s="35"/>
      <c r="BY51" s="35"/>
      <c r="BZ51" s="35"/>
      <c r="CA51" s="35"/>
      <c r="CB51" s="35"/>
    </row>
    <row r="52" spans="1:80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0"/>
      <c r="BE52" s="16"/>
      <c r="BF52" s="10" t="str">
        <f t="shared" si="9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6"/>
      <c r="BT52" s="10"/>
      <c r="BU52" s="10"/>
      <c r="BV52" s="35"/>
      <c r="BW52" s="35"/>
      <c r="BX52" s="35"/>
      <c r="BY52" s="35"/>
      <c r="BZ52" s="35"/>
      <c r="CA52" s="35"/>
      <c r="CB52" s="35"/>
    </row>
    <row r="53" spans="1:80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0"/>
      <c r="BE53" s="16"/>
      <c r="BF53" s="10" t="str">
        <f t="shared" si="9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6"/>
      <c r="BT53" s="10"/>
      <c r="BU53" s="10"/>
      <c r="BV53" s="35"/>
      <c r="BW53" s="35"/>
      <c r="BX53" s="35"/>
      <c r="BY53" s="35"/>
      <c r="BZ53" s="35"/>
      <c r="CA53" s="35"/>
      <c r="CB53" s="35"/>
    </row>
    <row r="54" spans="1:80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0"/>
      <c r="BE54" s="16"/>
      <c r="BF54" s="10" t="str">
        <f t="shared" si="9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6"/>
      <c r="BT54" s="10"/>
      <c r="BU54" s="10"/>
      <c r="BV54" s="35"/>
      <c r="BW54" s="35"/>
      <c r="BX54" s="35"/>
      <c r="BY54" s="35"/>
      <c r="BZ54" s="35"/>
      <c r="CA54" s="35"/>
      <c r="CB54" s="35"/>
    </row>
    <row r="55" spans="1:80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0"/>
      <c r="BE55" s="16"/>
      <c r="BF55" s="10" t="str">
        <f t="shared" si="9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6"/>
      <c r="BT55" s="10"/>
      <c r="BU55" s="10"/>
      <c r="BV55" s="35"/>
      <c r="BW55" s="35"/>
      <c r="BX55" s="35"/>
      <c r="BY55" s="35"/>
      <c r="BZ55" s="35"/>
      <c r="CA55" s="35"/>
      <c r="CB55" s="35"/>
    </row>
    <row r="56" spans="1:80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0"/>
      <c r="BE56" s="16"/>
      <c r="BF56" s="10" t="str">
        <f t="shared" si="9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6"/>
      <c r="BT56" s="10"/>
      <c r="BU56" s="10"/>
      <c r="BV56" s="35"/>
      <c r="BW56" s="35"/>
      <c r="BX56" s="35"/>
      <c r="BY56" s="35"/>
      <c r="BZ56" s="35"/>
      <c r="CA56" s="35"/>
      <c r="CB56" s="35"/>
    </row>
    <row r="57" spans="1:80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0"/>
      <c r="BE57" s="16"/>
      <c r="BF57" s="10" t="str">
        <f t="shared" si="9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6"/>
      <c r="BT57" s="10"/>
      <c r="BU57" s="10"/>
      <c r="BV57" s="35"/>
      <c r="BW57" s="35"/>
      <c r="BX57" s="35"/>
      <c r="BY57" s="35"/>
      <c r="BZ57" s="35"/>
      <c r="CA57" s="35"/>
      <c r="CB57" s="35"/>
    </row>
    <row r="58" spans="1:80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0"/>
      <c r="BE58" s="16"/>
      <c r="BF58" s="10" t="str">
        <f t="shared" si="9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6"/>
      <c r="BT58" s="10"/>
      <c r="BU58" s="10"/>
      <c r="BV58" s="35"/>
      <c r="BW58" s="35"/>
      <c r="BX58" s="35"/>
      <c r="BY58" s="35"/>
      <c r="BZ58" s="35"/>
      <c r="CA58" s="35"/>
      <c r="CB58" s="35"/>
    </row>
    <row r="59" spans="1:80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0"/>
      <c r="BE59" s="16"/>
      <c r="BF59" s="10" t="str">
        <f t="shared" si="9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6"/>
      <c r="BT59" s="10"/>
      <c r="BU59" s="10"/>
      <c r="BV59" s="35"/>
      <c r="BW59" s="35"/>
      <c r="BX59" s="35"/>
      <c r="BY59" s="35"/>
      <c r="BZ59" s="35"/>
      <c r="CA59" s="35"/>
      <c r="CB59" s="35"/>
    </row>
    <row r="60" spans="1:80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0"/>
      <c r="BE60" s="16"/>
      <c r="BF60" s="10" t="str">
        <f t="shared" si="9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6"/>
      <c r="BT60" s="10"/>
      <c r="BU60" s="10"/>
      <c r="BV60" s="35"/>
      <c r="BW60" s="35"/>
      <c r="BX60" s="35"/>
      <c r="BY60" s="35"/>
      <c r="BZ60" s="35"/>
      <c r="CA60" s="35"/>
      <c r="CB60" s="35"/>
    </row>
    <row r="61" spans="1:80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0"/>
      <c r="BE61" s="16"/>
      <c r="BF61" s="10" t="str">
        <f t="shared" si="9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6"/>
      <c r="BT61" s="10"/>
      <c r="BU61" s="10"/>
      <c r="BV61" s="35"/>
      <c r="BW61" s="35"/>
      <c r="BX61" s="35"/>
      <c r="BY61" s="35"/>
      <c r="BZ61" s="35"/>
      <c r="CA61" s="35"/>
      <c r="CB61" s="35"/>
    </row>
    <row r="62" spans="1:80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0"/>
      <c r="BE62" s="16"/>
      <c r="BF62" s="10" t="str">
        <f t="shared" si="9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6"/>
      <c r="BT62" s="10"/>
      <c r="BU62" s="10"/>
      <c r="BV62" s="35"/>
      <c r="BW62" s="35"/>
      <c r="BX62" s="35"/>
      <c r="BY62" s="35"/>
      <c r="BZ62" s="35"/>
      <c r="CA62" s="35"/>
      <c r="CB62" s="35"/>
    </row>
    <row r="63" spans="1:80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0"/>
      <c r="BE63" s="16"/>
      <c r="BF63" s="10" t="str">
        <f t="shared" ref="BF63:BF92" si="15">IF($BE63="", "", "IGO")</f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6"/>
      <c r="BT63" s="10"/>
      <c r="BU63" s="10"/>
      <c r="BV63" s="35"/>
      <c r="BW63" s="35"/>
      <c r="BX63" s="35"/>
      <c r="BY63" s="35"/>
      <c r="BZ63" s="35"/>
      <c r="CA63" s="35"/>
      <c r="CB63" s="35"/>
    </row>
    <row r="64" spans="1:80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0"/>
      <c r="BE64" s="16"/>
      <c r="BF64" s="10" t="str">
        <f t="shared" si="1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6"/>
      <c r="BT64" s="10"/>
      <c r="BU64" s="10"/>
      <c r="BV64" s="35"/>
      <c r="BW64" s="35"/>
      <c r="BX64" s="35"/>
      <c r="BY64" s="35"/>
      <c r="BZ64" s="35"/>
      <c r="CA64" s="35"/>
      <c r="CB64" s="35"/>
    </row>
    <row r="65" spans="1:80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0"/>
      <c r="BE65" s="16"/>
      <c r="BF65" s="10" t="str">
        <f t="shared" si="1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6"/>
      <c r="BT65" s="10"/>
      <c r="BU65" s="10"/>
      <c r="BV65" s="35"/>
      <c r="BW65" s="35"/>
      <c r="BX65" s="35"/>
      <c r="BY65" s="35"/>
      <c r="BZ65" s="35"/>
      <c r="CA65" s="35"/>
      <c r="CB65" s="35"/>
    </row>
    <row r="66" spans="1:80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0"/>
      <c r="BE66" s="16"/>
      <c r="BF66" s="10" t="str">
        <f t="shared" si="1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6"/>
      <c r="BT66" s="10"/>
      <c r="BU66" s="10"/>
      <c r="BV66" s="35"/>
      <c r="BW66" s="35"/>
      <c r="BX66" s="35"/>
      <c r="BY66" s="35"/>
      <c r="BZ66" s="35"/>
      <c r="CA66" s="35"/>
      <c r="CB66" s="35"/>
    </row>
    <row r="67" spans="1:80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0"/>
      <c r="BE67" s="16"/>
      <c r="BF67" s="10" t="str">
        <f t="shared" si="1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6"/>
      <c r="BT67" s="10"/>
      <c r="BU67" s="10"/>
      <c r="BV67" s="35"/>
      <c r="BW67" s="35"/>
      <c r="BX67" s="35"/>
      <c r="BY67" s="35"/>
      <c r="BZ67" s="35"/>
      <c r="CA67" s="35"/>
      <c r="CB67" s="35"/>
    </row>
    <row r="68" spans="1:80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0"/>
      <c r="BE68" s="16"/>
      <c r="BF68" s="10" t="str">
        <f t="shared" si="1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6"/>
      <c r="BT68" s="10"/>
      <c r="BU68" s="10"/>
      <c r="BV68" s="35"/>
      <c r="BW68" s="35"/>
      <c r="BX68" s="35"/>
      <c r="BY68" s="35"/>
      <c r="BZ68" s="35"/>
      <c r="CA68" s="35"/>
      <c r="CB68" s="35"/>
    </row>
    <row r="69" spans="1:80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0"/>
      <c r="BE69" s="16"/>
      <c r="BF69" s="10" t="str">
        <f t="shared" si="1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6"/>
      <c r="BT69" s="10"/>
      <c r="BU69" s="10"/>
      <c r="BV69" s="35"/>
      <c r="BW69" s="35"/>
      <c r="BX69" s="35"/>
      <c r="BY69" s="35"/>
      <c r="BZ69" s="35"/>
      <c r="CA69" s="35"/>
      <c r="CB69" s="35"/>
    </row>
    <row r="70" spans="1:80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0"/>
      <c r="BE70" s="16"/>
      <c r="BF70" s="10" t="str">
        <f t="shared" si="1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6"/>
      <c r="BT70" s="10"/>
      <c r="BU70" s="10"/>
      <c r="BV70" s="35"/>
      <c r="BW70" s="35"/>
      <c r="BX70" s="35"/>
      <c r="BY70" s="35"/>
      <c r="BZ70" s="35"/>
      <c r="CA70" s="35"/>
      <c r="CB70" s="35"/>
    </row>
    <row r="71" spans="1:80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/>
      <c r="BF71" s="10" t="str">
        <f t="shared" si="15"/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6"/>
      <c r="BT71" s="10"/>
      <c r="BU71" s="10"/>
      <c r="BV71" s="35"/>
      <c r="BW71" s="35"/>
      <c r="BX71" s="35"/>
      <c r="BY71" s="35"/>
      <c r="BZ71" s="35"/>
      <c r="CA71" s="35"/>
      <c r="CB71" s="35"/>
    </row>
    <row r="72" spans="1:80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/>
      <c r="BF72" s="10" t="str">
        <f t="shared" si="15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6"/>
      <c r="BT72" s="10"/>
      <c r="BU72" s="10"/>
      <c r="BV72" s="35"/>
      <c r="BW72" s="35"/>
      <c r="BX72" s="35"/>
      <c r="BY72" s="35"/>
      <c r="BZ72" s="35"/>
      <c r="CA72" s="35"/>
      <c r="CB72" s="35"/>
    </row>
    <row r="73" spans="1:80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0"/>
      <c r="BE73" s="16"/>
      <c r="BF73" s="10" t="str">
        <f t="shared" si="15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6"/>
      <c r="BT73" s="10"/>
      <c r="BU73" s="10"/>
      <c r="BV73" s="35"/>
      <c r="BW73" s="35"/>
      <c r="BX73" s="35"/>
      <c r="BY73" s="35"/>
      <c r="BZ73" s="35"/>
      <c r="CA73" s="35"/>
      <c r="CB73" s="35"/>
    </row>
    <row r="74" spans="1:80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0"/>
      <c r="BE74" s="16"/>
      <c r="BF74" s="10" t="str">
        <f t="shared" si="15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6"/>
      <c r="BT74" s="10"/>
      <c r="BU74" s="10"/>
      <c r="BV74" s="35"/>
      <c r="BW74" s="35"/>
      <c r="BX74" s="35"/>
      <c r="BY74" s="35"/>
      <c r="BZ74" s="35"/>
      <c r="CA74" s="35"/>
      <c r="CB74" s="35"/>
    </row>
    <row r="75" spans="1:80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0"/>
      <c r="BE75" s="16"/>
      <c r="BF75" s="10" t="str">
        <f t="shared" si="15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6"/>
      <c r="BT75" s="10"/>
      <c r="BU75" s="10"/>
      <c r="BV75" s="35"/>
      <c r="BW75" s="35"/>
      <c r="BX75" s="35"/>
      <c r="BY75" s="35"/>
      <c r="BZ75" s="35"/>
      <c r="CA75" s="35"/>
      <c r="CB75" s="35"/>
    </row>
    <row r="76" spans="1:80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0"/>
      <c r="BE76" s="16"/>
      <c r="BF76" s="10" t="str">
        <f t="shared" si="15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6"/>
      <c r="BT76" s="10"/>
      <c r="BU76" s="10"/>
      <c r="BV76" s="35"/>
      <c r="BW76" s="35"/>
      <c r="BX76" s="35"/>
      <c r="BY76" s="35"/>
      <c r="BZ76" s="35"/>
      <c r="CA76" s="35"/>
      <c r="CB76" s="35"/>
    </row>
    <row r="77" spans="1:80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0"/>
      <c r="BE77" s="16"/>
      <c r="BF77" s="10" t="str">
        <f t="shared" si="15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6"/>
      <c r="BT77" s="10"/>
      <c r="BU77" s="10"/>
      <c r="BV77" s="35"/>
      <c r="BW77" s="35"/>
      <c r="BX77" s="35"/>
      <c r="BY77" s="35"/>
      <c r="BZ77" s="35"/>
      <c r="CA77" s="35"/>
      <c r="CB77" s="35"/>
    </row>
    <row r="78" spans="1:80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0"/>
      <c r="BE78" s="16"/>
      <c r="BF78" s="10" t="str">
        <f t="shared" si="15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6"/>
      <c r="BT78" s="10"/>
      <c r="BU78" s="10"/>
      <c r="BV78" s="35"/>
      <c r="BW78" s="35"/>
      <c r="BX78" s="35"/>
      <c r="BY78" s="35"/>
      <c r="BZ78" s="35"/>
      <c r="CA78" s="35"/>
      <c r="CB78" s="35"/>
    </row>
    <row r="79" spans="1:80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0"/>
      <c r="BE79" s="16"/>
      <c r="BF79" s="10" t="str">
        <f t="shared" si="15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6"/>
      <c r="BT79" s="10"/>
      <c r="BU79" s="10"/>
      <c r="BV79" s="35"/>
      <c r="BW79" s="35"/>
      <c r="BX79" s="35"/>
      <c r="BY79" s="35"/>
      <c r="BZ79" s="35"/>
      <c r="CA79" s="35"/>
      <c r="CB79" s="35"/>
    </row>
    <row r="80" spans="1:80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0"/>
      <c r="BE80" s="16"/>
      <c r="BF80" s="10" t="str">
        <f t="shared" si="15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6"/>
      <c r="BT80" s="10"/>
      <c r="BU80" s="10"/>
      <c r="BV80" s="35"/>
      <c r="BW80" s="35"/>
      <c r="BX80" s="35"/>
      <c r="BY80" s="35"/>
      <c r="BZ80" s="35"/>
      <c r="CA80" s="35"/>
      <c r="CB80" s="35"/>
    </row>
    <row r="81" spans="1:80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0"/>
      <c r="BE81" s="16"/>
      <c r="BF81" s="10" t="str">
        <f t="shared" si="15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6"/>
      <c r="BT81" s="10"/>
      <c r="BU81" s="10"/>
      <c r="BV81" s="35"/>
      <c r="BW81" s="35"/>
      <c r="BX81" s="35"/>
      <c r="BY81" s="35"/>
      <c r="BZ81" s="35"/>
      <c r="CA81" s="35"/>
      <c r="CB81" s="35"/>
    </row>
    <row r="82" spans="1:80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0"/>
      <c r="BE82" s="16"/>
      <c r="BF82" s="10" t="str">
        <f t="shared" si="15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6"/>
      <c r="BT82" s="10"/>
      <c r="BU82" s="10"/>
      <c r="BV82" s="35"/>
      <c r="BW82" s="35"/>
      <c r="BX82" s="35"/>
      <c r="BY82" s="35"/>
      <c r="BZ82" s="35"/>
      <c r="CA82" s="35"/>
      <c r="CB82" s="35"/>
    </row>
    <row r="83" spans="1:80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0"/>
      <c r="BE83" s="16"/>
      <c r="BF83" s="10" t="str">
        <f t="shared" si="15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6"/>
      <c r="BT83" s="10"/>
      <c r="BU83" s="10"/>
      <c r="BV83" s="35"/>
      <c r="BW83" s="35"/>
      <c r="BX83" s="35"/>
      <c r="BY83" s="35"/>
      <c r="BZ83" s="35"/>
      <c r="CA83" s="35"/>
      <c r="CB83" s="35"/>
    </row>
    <row r="84" spans="1:80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0"/>
      <c r="BE84" s="16"/>
      <c r="BF84" s="10" t="str">
        <f t="shared" si="15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6"/>
      <c r="BT84" s="10"/>
      <c r="BU84" s="10"/>
      <c r="BV84" s="35"/>
      <c r="BW84" s="35"/>
      <c r="BX84" s="35"/>
      <c r="BY84" s="35"/>
      <c r="BZ84" s="35"/>
      <c r="CA84" s="35"/>
      <c r="CB84" s="35"/>
    </row>
    <row r="85" spans="1:80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0"/>
      <c r="BE85" s="16"/>
      <c r="BF85" s="10" t="str">
        <f t="shared" si="15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6"/>
      <c r="BT85" s="10"/>
      <c r="BU85" s="10"/>
      <c r="BV85" s="35"/>
      <c r="BW85" s="35"/>
      <c r="BX85" s="35"/>
      <c r="BY85" s="35"/>
      <c r="BZ85" s="35"/>
      <c r="CA85" s="35"/>
      <c r="CB85" s="35"/>
    </row>
    <row r="86" spans="1:80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0"/>
      <c r="BE86" s="16"/>
      <c r="BF86" s="10" t="str">
        <f t="shared" si="15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6"/>
      <c r="BT86" s="10"/>
      <c r="BU86" s="10"/>
      <c r="BV86" s="35"/>
      <c r="BW86" s="35"/>
      <c r="BX86" s="35"/>
      <c r="BY86" s="35"/>
      <c r="BZ86" s="35"/>
      <c r="CA86" s="35"/>
      <c r="CB86" s="35"/>
    </row>
    <row r="87" spans="1:80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0"/>
      <c r="BE87" s="16"/>
      <c r="BF87" s="10" t="str">
        <f t="shared" si="15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6"/>
      <c r="BT87" s="10"/>
      <c r="BU87" s="10"/>
      <c r="BV87" s="35"/>
      <c r="BW87" s="35"/>
      <c r="BX87" s="35"/>
      <c r="BY87" s="35"/>
      <c r="BZ87" s="35"/>
      <c r="CA87" s="35"/>
      <c r="CB87" s="35"/>
    </row>
    <row r="88" spans="1:80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0"/>
      <c r="BE88" s="16"/>
      <c r="BF88" s="10" t="str">
        <f t="shared" si="15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6"/>
      <c r="BT88" s="10"/>
      <c r="BU88" s="10"/>
      <c r="BV88" s="35"/>
      <c r="BW88" s="35"/>
      <c r="BX88" s="35"/>
      <c r="BY88" s="35"/>
      <c r="BZ88" s="35"/>
      <c r="CA88" s="35"/>
      <c r="CB88" s="35"/>
    </row>
    <row r="89" spans="1:80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0"/>
      <c r="BE89" s="16"/>
      <c r="BF89" s="10" t="str">
        <f t="shared" si="15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6"/>
      <c r="BT89" s="10"/>
      <c r="BU89" s="10"/>
      <c r="BV89" s="35"/>
      <c r="BW89" s="35"/>
      <c r="BX89" s="35"/>
      <c r="BY89" s="35"/>
      <c r="BZ89" s="35"/>
      <c r="CA89" s="35"/>
      <c r="CB89" s="35"/>
    </row>
    <row r="90" spans="1:80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0"/>
      <c r="BE90" s="16"/>
      <c r="BF90" s="10" t="str">
        <f t="shared" si="15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6"/>
      <c r="BT90" s="10"/>
      <c r="BU90" s="10"/>
      <c r="BV90" s="35"/>
      <c r="BW90" s="35"/>
      <c r="BX90" s="35"/>
      <c r="BY90" s="35"/>
      <c r="BZ90" s="35"/>
      <c r="CA90" s="35"/>
      <c r="CB90" s="35"/>
    </row>
    <row r="91" spans="1:80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0"/>
      <c r="BE91" s="16"/>
      <c r="BF91" s="10" t="str">
        <f t="shared" si="15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6"/>
      <c r="BT91" s="10"/>
      <c r="BU91" s="10"/>
      <c r="BV91" s="35"/>
      <c r="BW91" s="35"/>
      <c r="BX91" s="35"/>
      <c r="BY91" s="35"/>
      <c r="BZ91" s="35"/>
      <c r="CA91" s="35"/>
      <c r="CB91" s="35"/>
    </row>
    <row r="92" spans="1:80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0"/>
      <c r="BE92" s="16"/>
      <c r="BF92" s="10" t="str">
        <f t="shared" si="15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6"/>
      <c r="BT92" s="10"/>
      <c r="BU92" s="10"/>
      <c r="BV92" s="35"/>
      <c r="BW92" s="35"/>
      <c r="BX92" s="35"/>
      <c r="BY92" s="35"/>
      <c r="BZ92" s="35"/>
      <c r="CA92" s="35"/>
      <c r="CB92" s="35"/>
    </row>
  </sheetData>
  <mergeCells count="18">
    <mergeCell ref="BS4:BT4"/>
    <mergeCell ref="BU4:BZ4"/>
    <mergeCell ref="CC4:CF4"/>
    <mergeCell ref="BC4:BD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BA4:BB4"/>
    <mergeCell ref="CA4:CB4"/>
    <mergeCell ref="BE4:BM4"/>
    <mergeCell ref="BN4:BQ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73:AX82 AX24:AX32" xr:uid="{2E2BBFC0-C102-F641-A30B-2BF8E11C0BAE}">
      <formula1>$V$6:$V$8</formula1>
    </dataValidation>
    <dataValidation type="list" allowBlank="1" showInputMessage="1" showErrorMessage="1" sqref="BQ73:BQ82 BQ48:BQ57 BQ28:BQ32" xr:uid="{491C0E81-8015-754F-B6DE-777ABA776FC6}">
      <formula1>$W$6:$W$9</formula1>
    </dataValidation>
    <dataValidation type="list" allowBlank="1" showInputMessage="1" showErrorMessage="1" sqref="AW73:AW82 AW48:AW57 AW24:AW3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BQ6:BQ27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C31B1794-1DF3-8348-85DE-5BCE322126E7}">
          <x14:formula1>
            <xm:f>Validations!$Y$4:$Y$7</xm:f>
          </x14:formula1>
          <xm:sqref>BJ6:BJ92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BX6:BX92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AU36:AU92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BT6:BT92 AG6:AG92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BR6:BR92 AD6:AD92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AU6:AU35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2020-08-05T18:33:52Z</dcterms:modified>
</cp:coreProperties>
</file>