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54AFA3BD-FADD-404E-BC1F-A2FD1E874A6F}" xr6:coauthVersionLast="36" xr6:coauthVersionMax="36" xr10:uidLastSave="{00000000-0000-0000-0000-000000000000}"/>
  <workbookProtection lockStructure="1"/>
  <bookViews>
    <workbookView xWindow="0" yWindow="460" windowWidth="38400" windowHeight="222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fileRecoveryPr repairLoad="1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U7" i="1"/>
  <c r="U8" i="1"/>
  <c r="U9" i="1"/>
  <c r="U10" i="1"/>
  <c r="U11" i="1"/>
  <c r="U12" i="1"/>
  <c r="U13" i="1"/>
  <c r="U14" i="1"/>
  <c r="U15" i="1"/>
  <c r="U6" i="1"/>
  <c r="AE15" i="1"/>
  <c r="AE14" i="1"/>
  <c r="AE13" i="1"/>
  <c r="AE12" i="1"/>
  <c r="AE11" i="1"/>
  <c r="AE10" i="1"/>
  <c r="AE9" i="1"/>
  <c r="AE8" i="1"/>
  <c r="AE7" i="1"/>
  <c r="AE6" i="1"/>
  <c r="K5" i="1"/>
  <c r="U5" i="1"/>
  <c r="K15" i="1"/>
  <c r="K14" i="1"/>
  <c r="K13" i="1"/>
  <c r="J5" i="1"/>
  <c r="H15" i="1"/>
  <c r="H14" i="1"/>
  <c r="H13" i="1"/>
  <c r="H12" i="1"/>
  <c r="H11" i="1"/>
  <c r="H10" i="1"/>
  <c r="H9" i="1"/>
  <c r="H8" i="1"/>
  <c r="H7" i="1"/>
  <c r="H6" i="1"/>
  <c r="H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<sst xmlns="http://schemas.openxmlformats.org/spreadsheetml/2006/main" count="295" uniqueCount="247">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</sst>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4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R139"/>
  <sheetViews>
    <sheetView tabSelected="1" topLeftCell="AN1" zoomScale="110" zoomScaleNormal="110" workbookViewId="0">
      <pane ySplit="4" topLeftCell="A6" activePane="bottomLeft" state="frozen"/>
      <selection activeCell="P1" sqref="P1"/>
      <selection pane="bottomLeft" activeCell="AT6" sqref="AT6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8.83203125" style="2" bestFit="1" customWidth="1"/>
    <col min="6" max="6" width="12.83203125" style="2" bestFit="1" customWidth="1"/>
    <col min="7" max="7" width="7.83203125" style="2" bestFit="1" customWidth="1"/>
    <col min="8" max="8" width="14.6640625" style="2" bestFit="1" customWidth="1"/>
    <col min="9" max="9" width="12.6640625" style="2" bestFit="1" customWidth="1"/>
    <col min="10" max="10" width="14.33203125" style="2" bestFit="1" customWidth="1"/>
    <col min="11" max="11" width="13.83203125" style="2" bestFit="1" customWidth="1"/>
    <col min="12" max="12" width="15.33203125" style="2" hidden="1" customWidth="1"/>
    <col min="13" max="13" width="18.1640625" style="2" hidden="1" customWidth="1"/>
    <col min="14" max="14" width="14.1640625" style="2" bestFit="1" customWidth="1"/>
    <col min="15" max="15" width="12.83203125" style="2" bestFit="1" customWidth="1"/>
    <col min="16" max="16" width="10.5" style="2" bestFit="1" customWidth="1"/>
    <col min="17" max="17" width="11.1640625" style="2" bestFit="1" customWidth="1"/>
    <col min="18" max="18" width="19" style="2" bestFit="1" customWidth="1"/>
    <col min="19" max="19" width="22.83203125" style="2" hidden="1" customWidth="1"/>
    <col min="20" max="20" width="21.83203125" style="2" hidden="1" customWidth="1"/>
    <col min="21" max="21" width="16.33203125" style="2" hidden="1" customWidth="1"/>
    <col min="22" max="22" width="11.1640625" style="2" hidden="1" customWidth="1"/>
    <col min="23" max="23" width="21.83203125" style="2" hidden="1" customWidth="1"/>
    <col min="24" max="24" width="13.83203125" style="2" hidden="1" customWidth="1"/>
    <col min="25" max="25" width="14.6640625" style="2" customWidth="1"/>
    <col min="26" max="26" width="18.5" style="2" customWidth="1"/>
    <col min="27" max="27" width="16.5" style="2" customWidth="1"/>
    <col min="28" max="28" width="19.83203125" style="2" customWidth="1"/>
    <col min="29" max="29" width="19.5" style="2" customWidth="1"/>
    <col min="30" max="30" width="22.83203125" style="2" customWidth="1"/>
    <col min="31" max="31" width="23.83203125" style="2" customWidth="1"/>
    <col min="32" max="32" width="16.6640625" style="2" customWidth="1"/>
    <col min="33" max="33" width="12.5" style="2" customWidth="1"/>
    <col min="34" max="34" width="22.6640625" style="2" customWidth="1"/>
    <col min="35" max="35" width="19.5" style="2" customWidth="1"/>
    <col min="36" max="36" width="19" style="2" customWidth="1"/>
    <col min="37" max="38" width="25.33203125" style="2" customWidth="1"/>
    <col min="39" max="39" width="9.6640625" style="2" customWidth="1"/>
    <col min="40" max="40" width="12.1640625" style="2" customWidth="1"/>
    <col min="41" max="41" width="13.1640625" style="2" customWidth="1"/>
    <col min="42" max="42" width="6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bestFit="1" customWidth="1"/>
    <col min="47" max="47" width="23.1640625" style="2" customWidth="1"/>
    <col min="48" max="48" width="21.83203125" style="2" customWidth="1"/>
    <col min="49" max="49" width="14" style="2" customWidth="1"/>
    <col min="50" max="50" width="17.83203125" style="2" customWidth="1"/>
    <col min="51" max="51" width="14.5" style="2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17.1640625" style="2" customWidth="1"/>
    <col min="57" max="57" width="18.1640625" style="2" customWidth="1"/>
    <col min="58" max="58" width="10.83203125" style="2" customWidth="1"/>
    <col min="59" max="59" width="16.33203125" style="2" customWidth="1"/>
    <col min="60" max="60" width="13.1640625" style="2" customWidth="1"/>
    <col min="61" max="61" width="12.83203125" style="2" customWidth="1"/>
    <col min="62" max="62" width="19.1640625" style="2" customWidth="1"/>
    <col min="63" max="63" width="19" style="2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16384" width="10.83203125" style="2"/>
  </cols>
  <sheetData>
    <row r="3" spans="1:70" s="6" customFormat="1" x14ac:dyDescent="0.2">
      <c r="A3" s="12" t="s">
        <v>47</v>
      </c>
      <c r="B3" s="12"/>
      <c r="C3" s="12"/>
      <c r="D3" s="12"/>
      <c r="E3" s="12" t="s">
        <v>48</v>
      </c>
      <c r="F3" s="12"/>
      <c r="G3" s="12"/>
      <c r="H3" s="12"/>
      <c r="I3" s="12"/>
      <c r="J3" s="7" t="s">
        <v>49</v>
      </c>
      <c r="K3" s="12" t="s">
        <v>50</v>
      </c>
      <c r="L3" s="12"/>
      <c r="M3" s="8"/>
      <c r="N3" s="12" t="s">
        <v>51</v>
      </c>
      <c r="O3" s="12"/>
      <c r="P3" s="12"/>
      <c r="Q3" s="12"/>
      <c r="R3" s="12"/>
      <c r="S3" s="12" t="s">
        <v>52</v>
      </c>
      <c r="T3" s="12"/>
      <c r="U3" s="12"/>
      <c r="V3" s="12"/>
      <c r="W3" s="12"/>
      <c r="X3" s="6" t="s">
        <v>53</v>
      </c>
      <c r="Y3" s="12" t="s">
        <v>54</v>
      </c>
      <c r="Z3" s="12"/>
      <c r="AA3" s="12"/>
      <c r="AB3" s="12" t="s">
        <v>225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Q3" s="12" t="s">
        <v>55</v>
      </c>
      <c r="AR3" s="12"/>
      <c r="AS3" s="12"/>
      <c r="AT3" s="12"/>
      <c r="AU3" s="12" t="s">
        <v>56</v>
      </c>
      <c r="AV3" s="12"/>
      <c r="AW3" s="12"/>
      <c r="AX3" s="12"/>
      <c r="AY3" s="12"/>
      <c r="AZ3" s="12" t="s">
        <v>57</v>
      </c>
      <c r="BA3" s="12"/>
      <c r="BB3" s="12" t="s">
        <v>58</v>
      </c>
      <c r="BC3" s="12"/>
      <c r="BD3" s="12" t="s">
        <v>226</v>
      </c>
      <c r="BE3" s="13"/>
      <c r="BF3" s="13"/>
      <c r="BG3" s="13"/>
      <c r="BH3" s="13"/>
      <c r="BI3" s="13"/>
      <c r="BJ3" s="13"/>
      <c r="BK3" s="13"/>
      <c r="BL3" s="12" t="s">
        <v>59</v>
      </c>
      <c r="BM3" s="12"/>
      <c r="BN3" s="12"/>
    </row>
    <row r="4" spans="1:70" s="5" customFormat="1" x14ac:dyDescent="0.2">
      <c r="A4" s="5" t="s">
        <v>1</v>
      </c>
      <c r="B4" s="5" t="s">
        <v>223</v>
      </c>
      <c r="C4" s="5" t="s">
        <v>224</v>
      </c>
      <c r="D4" s="5" t="s">
        <v>0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222</v>
      </c>
      <c r="J4" s="5" t="s">
        <v>7</v>
      </c>
      <c r="K4" s="5" t="s">
        <v>8</v>
      </c>
      <c r="L4" s="5" t="s">
        <v>9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16</v>
      </c>
      <c r="T4" s="5" t="s">
        <v>17</v>
      </c>
      <c r="U4" s="5" t="s">
        <v>18</v>
      </c>
      <c r="V4" s="5" t="s">
        <v>19</v>
      </c>
      <c r="W4" s="5" t="s">
        <v>20</v>
      </c>
      <c r="X4" s="5" t="s">
        <v>21</v>
      </c>
      <c r="Y4" s="5" t="s">
        <v>22</v>
      </c>
      <c r="Z4" s="5" t="s">
        <v>23</v>
      </c>
      <c r="AA4" s="5" t="s">
        <v>24</v>
      </c>
      <c r="AB4" s="5" t="s">
        <v>25</v>
      </c>
      <c r="AC4" s="5" t="s">
        <v>26</v>
      </c>
      <c r="AD4" s="5" t="s">
        <v>242</v>
      </c>
      <c r="AE4" s="5" t="s">
        <v>241</v>
      </c>
      <c r="AF4" s="5" t="s">
        <v>27</v>
      </c>
      <c r="AG4" s="5" t="s">
        <v>240</v>
      </c>
      <c r="AH4" s="5" t="s">
        <v>239</v>
      </c>
      <c r="AI4" s="5" t="s">
        <v>238</v>
      </c>
      <c r="AJ4" s="5" t="s">
        <v>237</v>
      </c>
      <c r="AK4" s="5" t="s">
        <v>236</v>
      </c>
      <c r="AL4" s="5" t="s">
        <v>235</v>
      </c>
      <c r="AM4" s="5" t="s">
        <v>29</v>
      </c>
      <c r="AN4" s="5" t="s">
        <v>30</v>
      </c>
      <c r="AO4" s="5" t="s">
        <v>31</v>
      </c>
      <c r="AP4" s="5" t="s">
        <v>32</v>
      </c>
      <c r="AQ4" s="5" t="s">
        <v>33</v>
      </c>
      <c r="AR4" s="5" t="s">
        <v>34</v>
      </c>
      <c r="AS4" s="5" t="s">
        <v>35</v>
      </c>
      <c r="AT4" s="5" t="s">
        <v>244</v>
      </c>
      <c r="AU4" s="5" t="s">
        <v>36</v>
      </c>
      <c r="AV4" s="5" t="s">
        <v>37</v>
      </c>
      <c r="AW4" s="5" t="s">
        <v>38</v>
      </c>
      <c r="AX4" s="5" t="s">
        <v>39</v>
      </c>
      <c r="AY4" s="5" t="s">
        <v>40</v>
      </c>
      <c r="AZ4" s="5" t="s">
        <v>41</v>
      </c>
      <c r="BA4" s="5" t="s">
        <v>42</v>
      </c>
      <c r="BB4" s="5" t="s">
        <v>43</v>
      </c>
      <c r="BC4" s="5" t="s">
        <v>44</v>
      </c>
      <c r="BD4" s="5" t="s">
        <v>227</v>
      </c>
      <c r="BE4" s="5" t="s">
        <v>234</v>
      </c>
      <c r="BF4" s="5" t="s">
        <v>233</v>
      </c>
      <c r="BG4" s="5" t="s">
        <v>232</v>
      </c>
      <c r="BH4" s="5" t="s">
        <v>231</v>
      </c>
      <c r="BI4" s="5" t="s">
        <v>230</v>
      </c>
      <c r="BJ4" s="5" t="s">
        <v>229</v>
      </c>
      <c r="BK4" s="5" t="s">
        <v>228</v>
      </c>
      <c r="BL4" s="5" t="s">
        <v>243</v>
      </c>
      <c r="BM4" s="5" t="s">
        <v>45</v>
      </c>
      <c r="BN4" s="5" t="s">
        <v>46</v>
      </c>
    </row>
    <row r="5" spans="1:70" hidden="1" x14ac:dyDescent="0.2">
      <c r="A5" s="4" t="str">
        <f>D5</f>
        <v>SPECTRUM-OV-001</v>
      </c>
      <c r="B5" s="4"/>
      <c r="C5" s="4"/>
      <c r="D5" s="2" t="s">
        <v>60</v>
      </c>
      <c r="H5" s="2" t="str">
        <f>IF($A$1="", "Main", "")</f>
        <v>Main</v>
      </c>
      <c r="J5" s="2" t="str">
        <f>IF($A$1="", "No")</f>
        <v>No</v>
      </c>
      <c r="K5" s="2" t="str">
        <f>IF($A$1="", "HGSC")</f>
        <v>HGSC</v>
      </c>
      <c r="U5" s="2" t="str">
        <f>IF($A$1="", "15")</f>
        <v>15</v>
      </c>
      <c r="AE5" s="2" t="s">
        <v>219</v>
      </c>
    </row>
    <row r="6" spans="1:70" x14ac:dyDescent="0.2">
      <c r="A6" s="4" t="str">
        <f>D6</f>
        <v>SPECTRUM-OV-001</v>
      </c>
      <c r="B6" s="4"/>
      <c r="C6" s="4"/>
      <c r="D6" s="2" t="s">
        <v>60</v>
      </c>
      <c r="E6" s="2">
        <v>0</v>
      </c>
      <c r="H6" s="2" t="str">
        <f t="shared" ref="H6:H15" si="0">IF($A$1="", "Main", "")</f>
        <v>Main</v>
      </c>
      <c r="K6" s="2" t="s">
        <v>178</v>
      </c>
      <c r="L6" s="9"/>
      <c r="M6" s="9"/>
      <c r="R6" s="2" t="s">
        <v>193</v>
      </c>
      <c r="S6" s="9"/>
      <c r="T6" s="9"/>
      <c r="U6" s="9" t="str">
        <f>IF($R6="Single Cell Suspension", "15", "")</f>
        <v/>
      </c>
      <c r="V6" s="9"/>
      <c r="W6" s="9" t="s">
        <v>198</v>
      </c>
      <c r="X6" s="9"/>
      <c r="Y6" s="9"/>
      <c r="Z6" s="9"/>
      <c r="AA6" s="9"/>
      <c r="AB6" s="9"/>
      <c r="AC6" s="9"/>
      <c r="AD6" s="9"/>
      <c r="AE6" s="9" t="str">
        <f t="shared" ref="AE6:AE15" si="1">IF($A$1="", "IGO")</f>
        <v>IGO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 t="s">
        <v>246</v>
      </c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70" x14ac:dyDescent="0.2">
      <c r="A7" s="4">
        <f t="shared" ref="A7:A15" si="2">D7</f>
        <v>0</v>
      </c>
      <c r="B7" s="4"/>
      <c r="C7" s="4"/>
      <c r="H7" s="2" t="str">
        <f t="shared" si="0"/>
        <v>Main</v>
      </c>
      <c r="K7" s="2" t="s">
        <v>178</v>
      </c>
      <c r="L7" s="9"/>
      <c r="M7" s="9"/>
      <c r="S7" s="9"/>
      <c r="T7" s="9"/>
      <c r="U7" s="9" t="str">
        <f t="shared" ref="U7:U15" si="3">IF($R7="Single Cell Suspension", "15", "")</f>
        <v/>
      </c>
      <c r="V7" s="9"/>
      <c r="W7" s="9"/>
      <c r="X7" s="9" t="s">
        <v>200</v>
      </c>
      <c r="Y7" s="9"/>
      <c r="Z7" s="9"/>
      <c r="AA7" s="9"/>
      <c r="AB7" s="9"/>
      <c r="AC7" s="9"/>
      <c r="AD7" s="9"/>
      <c r="AE7" s="9" t="str">
        <f t="shared" si="1"/>
        <v>IGO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70" x14ac:dyDescent="0.2">
      <c r="A8" s="4">
        <f t="shared" si="2"/>
        <v>0</v>
      </c>
      <c r="B8" s="4"/>
      <c r="C8" s="4"/>
      <c r="H8" s="2" t="str">
        <f t="shared" si="0"/>
        <v>Main</v>
      </c>
      <c r="K8" s="2" t="s">
        <v>178</v>
      </c>
      <c r="L8" s="9"/>
      <c r="M8" s="9"/>
      <c r="S8" s="9"/>
      <c r="T8" s="9"/>
      <c r="U8" s="9" t="str">
        <f t="shared" si="3"/>
        <v/>
      </c>
      <c r="V8" s="9"/>
      <c r="W8" s="9"/>
      <c r="X8" s="9"/>
      <c r="Y8" s="9"/>
      <c r="Z8" s="9"/>
      <c r="AA8" s="9"/>
      <c r="AB8" s="9"/>
      <c r="AC8" s="9"/>
      <c r="AD8" s="9"/>
      <c r="AE8" s="9" t="str">
        <f t="shared" si="1"/>
        <v>IGO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70" x14ac:dyDescent="0.2">
      <c r="A9" s="4">
        <f t="shared" si="2"/>
        <v>0</v>
      </c>
      <c r="B9" s="4"/>
      <c r="C9" s="4"/>
      <c r="H9" s="2" t="str">
        <f t="shared" si="0"/>
        <v>Main</v>
      </c>
      <c r="K9" s="2" t="s">
        <v>178</v>
      </c>
      <c r="L9" s="9"/>
      <c r="M9" s="9"/>
      <c r="S9" s="9"/>
      <c r="T9" s="9"/>
      <c r="U9" s="9" t="str">
        <f t="shared" si="3"/>
        <v/>
      </c>
      <c r="V9" s="9"/>
      <c r="W9" s="9"/>
      <c r="X9" s="9"/>
      <c r="Y9" s="9"/>
      <c r="Z9" s="9"/>
      <c r="AA9" s="9"/>
      <c r="AB9" s="9"/>
      <c r="AC9" s="9"/>
      <c r="AD9" s="9"/>
      <c r="AE9" s="9" t="str">
        <f t="shared" si="1"/>
        <v>IGO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70" x14ac:dyDescent="0.2">
      <c r="A10" s="4">
        <f t="shared" si="2"/>
        <v>0</v>
      </c>
      <c r="B10" s="4"/>
      <c r="C10" s="4"/>
      <c r="H10" s="2" t="str">
        <f t="shared" si="0"/>
        <v>Main</v>
      </c>
      <c r="K10" s="2" t="s">
        <v>178</v>
      </c>
      <c r="L10" s="9"/>
      <c r="M10" s="9"/>
      <c r="S10" s="9"/>
      <c r="T10" s="9"/>
      <c r="U10" s="9" t="str">
        <f t="shared" si="3"/>
        <v/>
      </c>
      <c r="V10" s="9"/>
      <c r="W10" s="9"/>
      <c r="X10" s="9"/>
      <c r="Y10" s="9"/>
      <c r="Z10" s="9"/>
      <c r="AA10" s="9"/>
      <c r="AB10" s="9"/>
      <c r="AC10" s="9"/>
      <c r="AD10" s="9"/>
      <c r="AE10" s="9" t="str">
        <f t="shared" si="1"/>
        <v>IGO</v>
      </c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70" x14ac:dyDescent="0.2">
      <c r="A11" s="4">
        <f t="shared" si="2"/>
        <v>0</v>
      </c>
      <c r="B11" s="4"/>
      <c r="C11" s="4"/>
      <c r="H11" s="2" t="str">
        <f t="shared" si="0"/>
        <v>Main</v>
      </c>
      <c r="K11" s="2" t="s">
        <v>178</v>
      </c>
      <c r="L11" s="9"/>
      <c r="M11" s="9"/>
      <c r="S11" s="9"/>
      <c r="T11" s="9"/>
      <c r="U11" s="9" t="str">
        <f t="shared" si="3"/>
        <v/>
      </c>
      <c r="V11" s="9"/>
      <c r="W11" s="9"/>
      <c r="X11" s="9"/>
      <c r="Y11" s="9"/>
      <c r="Z11" s="9"/>
      <c r="AA11" s="9"/>
      <c r="AB11" s="9"/>
      <c r="AC11" s="9"/>
      <c r="AD11" s="9"/>
      <c r="AE11" s="9" t="str">
        <f t="shared" si="1"/>
        <v>IGO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70" x14ac:dyDescent="0.2">
      <c r="A12" s="4">
        <f t="shared" si="2"/>
        <v>0</v>
      </c>
      <c r="B12" s="4"/>
      <c r="C12" s="4"/>
      <c r="H12" s="2" t="str">
        <f t="shared" si="0"/>
        <v>Main</v>
      </c>
      <c r="K12" s="2" t="s">
        <v>178</v>
      </c>
      <c r="L12" s="9"/>
      <c r="M12" s="9"/>
      <c r="S12" s="9"/>
      <c r="T12" s="9"/>
      <c r="U12" s="9" t="str">
        <f t="shared" si="3"/>
        <v/>
      </c>
      <c r="V12" s="9"/>
      <c r="W12" s="9"/>
      <c r="X12" s="9"/>
      <c r="Y12" s="9"/>
      <c r="Z12" s="9"/>
      <c r="AA12" s="9"/>
      <c r="AB12" s="9"/>
      <c r="AC12" s="9"/>
      <c r="AD12" s="9"/>
      <c r="AE12" s="9" t="str">
        <f t="shared" si="1"/>
        <v>IGO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70" x14ac:dyDescent="0.2">
      <c r="A13" s="4">
        <f t="shared" si="2"/>
        <v>0</v>
      </c>
      <c r="B13" s="4"/>
      <c r="C13" s="4"/>
      <c r="H13" s="2" t="str">
        <f t="shared" si="0"/>
        <v>Main</v>
      </c>
      <c r="K13" s="2" t="str">
        <f t="shared" ref="K13:K15" si="4">IF($A$1="", "HGSC")</f>
        <v>HGSC</v>
      </c>
      <c r="L13" s="9"/>
      <c r="M13" s="9"/>
      <c r="S13" s="9"/>
      <c r="T13" s="9"/>
      <c r="U13" s="9" t="str">
        <f t="shared" si="3"/>
        <v/>
      </c>
      <c r="V13" s="9"/>
      <c r="W13" s="9"/>
      <c r="X13" s="9"/>
      <c r="Y13" s="9"/>
      <c r="Z13" s="9"/>
      <c r="AA13" s="9"/>
      <c r="AB13" s="9"/>
      <c r="AC13" s="9"/>
      <c r="AD13" s="9"/>
      <c r="AE13" s="9" t="str">
        <f t="shared" si="1"/>
        <v>IGO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70" x14ac:dyDescent="0.2">
      <c r="A14" s="4">
        <f t="shared" si="2"/>
        <v>0</v>
      </c>
      <c r="B14" s="4"/>
      <c r="C14" s="4"/>
      <c r="H14" s="2" t="str">
        <f t="shared" si="0"/>
        <v>Main</v>
      </c>
      <c r="K14" s="2" t="str">
        <f t="shared" si="4"/>
        <v>HGSC</v>
      </c>
      <c r="L14" s="9"/>
      <c r="M14" s="9"/>
      <c r="S14" s="9"/>
      <c r="T14" s="9"/>
      <c r="U14" s="9" t="str">
        <f t="shared" si="3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 t="str">
        <f t="shared" si="1"/>
        <v>IGO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70" x14ac:dyDescent="0.2">
      <c r="A15" s="4">
        <f t="shared" si="2"/>
        <v>0</v>
      </c>
      <c r="B15" s="4"/>
      <c r="C15" s="4"/>
      <c r="H15" s="2" t="str">
        <f t="shared" si="0"/>
        <v>Main</v>
      </c>
      <c r="K15" s="2" t="str">
        <f t="shared" si="4"/>
        <v>HGSC</v>
      </c>
      <c r="L15" s="9"/>
      <c r="M15" s="9"/>
      <c r="S15" s="9"/>
      <c r="T15" s="9"/>
      <c r="U15" s="9" t="str">
        <f t="shared" si="3"/>
        <v/>
      </c>
      <c r="V15" s="9"/>
      <c r="W15" s="9"/>
      <c r="X15" s="9"/>
      <c r="Y15" s="9"/>
      <c r="Z15" s="9"/>
      <c r="AA15" s="9"/>
      <c r="AB15" s="9"/>
      <c r="AC15" s="9"/>
      <c r="AD15" s="9"/>
      <c r="AE15" s="9" t="str">
        <f t="shared" si="1"/>
        <v>IGO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70" x14ac:dyDescent="0.2">
      <c r="B16" s="10"/>
      <c r="C16" s="10"/>
      <c r="D16" s="10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</row>
    <row r="17" spans="2:70" x14ac:dyDescent="0.2">
      <c r="B17" s="10"/>
      <c r="C17" s="10"/>
      <c r="D17" s="10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</row>
    <row r="18" spans="2:70" x14ac:dyDescent="0.2">
      <c r="B18" s="10"/>
      <c r="C18" s="10"/>
      <c r="D18" s="1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</row>
    <row r="19" spans="2:70" x14ac:dyDescent="0.2">
      <c r="B19" s="10"/>
      <c r="C19" s="10"/>
      <c r="D19" s="10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</row>
    <row r="20" spans="2:70" x14ac:dyDescent="0.2">
      <c r="B20" s="10"/>
      <c r="C20" s="10"/>
      <c r="D20" s="10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</row>
    <row r="21" spans="2:70" x14ac:dyDescent="0.2">
      <c r="B21" s="10"/>
      <c r="C21" s="10"/>
      <c r="D21" s="10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</row>
    <row r="22" spans="2:70" x14ac:dyDescent="0.2">
      <c r="B22" s="10"/>
      <c r="C22" s="10"/>
      <c r="D22" s="10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</row>
    <row r="23" spans="2:70" x14ac:dyDescent="0.2">
      <c r="B23" s="10"/>
      <c r="C23" s="10"/>
      <c r="D23" s="10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</row>
    <row r="24" spans="2:70" x14ac:dyDescent="0.2">
      <c r="B24" s="10"/>
      <c r="C24" s="10"/>
      <c r="D24" s="10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</row>
    <row r="25" spans="2:70" x14ac:dyDescent="0.2">
      <c r="B25" s="10"/>
      <c r="C25" s="10"/>
      <c r="D25" s="10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2:70" x14ac:dyDescent="0.2">
      <c r="B26" s="10"/>
      <c r="C26" s="10"/>
      <c r="D26" s="10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</row>
    <row r="27" spans="2:70" x14ac:dyDescent="0.2">
      <c r="B27" s="10"/>
      <c r="C27" s="10"/>
      <c r="D27" s="10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</row>
    <row r="28" spans="2:70" x14ac:dyDescent="0.2">
      <c r="B28" s="10"/>
      <c r="C28" s="10"/>
      <c r="D28" s="10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</row>
    <row r="29" spans="2:70" x14ac:dyDescent="0.2">
      <c r="B29" s="10"/>
      <c r="C29" s="10"/>
      <c r="D29" s="10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</row>
    <row r="30" spans="2:70" x14ac:dyDescent="0.2">
      <c r="B30" s="10"/>
      <c r="C30" s="10"/>
      <c r="D30" s="10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</row>
    <row r="31" spans="2:70" x14ac:dyDescent="0.2">
      <c r="B31" s="10"/>
      <c r="C31" s="10"/>
      <c r="D31" s="10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</row>
    <row r="32" spans="2:70" x14ac:dyDescent="0.2">
      <c r="B32" s="10"/>
      <c r="C32" s="10"/>
      <c r="D32" s="10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</row>
    <row r="33" spans="2:70" x14ac:dyDescent="0.2">
      <c r="B33" s="10"/>
      <c r="C33" s="10"/>
      <c r="D33" s="10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</row>
    <row r="34" spans="2:70" x14ac:dyDescent="0.2">
      <c r="B34" s="10"/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</row>
    <row r="35" spans="2:70" x14ac:dyDescent="0.2">
      <c r="B35" s="10"/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</row>
    <row r="36" spans="2:70" x14ac:dyDescent="0.2">
      <c r="B36" s="10"/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</row>
    <row r="37" spans="2:70" x14ac:dyDescent="0.2">
      <c r="B37" s="10"/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</row>
    <row r="38" spans="2:70" x14ac:dyDescent="0.2">
      <c r="B38" s="10"/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</row>
    <row r="39" spans="2:70" x14ac:dyDescent="0.2">
      <c r="B39" s="10"/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</row>
    <row r="40" spans="2:70" x14ac:dyDescent="0.2">
      <c r="B40" s="10"/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</row>
    <row r="41" spans="2:70" x14ac:dyDescent="0.2">
      <c r="B41" s="10"/>
      <c r="C41" s="10"/>
      <c r="D41" s="10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</row>
    <row r="42" spans="2:70" x14ac:dyDescent="0.2">
      <c r="B42" s="10"/>
      <c r="C42" s="10"/>
      <c r="D42" s="10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</row>
    <row r="43" spans="2:70" x14ac:dyDescent="0.2">
      <c r="B43" s="10"/>
      <c r="C43" s="10"/>
      <c r="D43" s="10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</row>
    <row r="44" spans="2:70" x14ac:dyDescent="0.2">
      <c r="B44" s="10"/>
      <c r="C44" s="10"/>
      <c r="D44" s="10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</row>
    <row r="45" spans="2:70" x14ac:dyDescent="0.2">
      <c r="B45" s="10"/>
      <c r="C45" s="10"/>
      <c r="D45" s="10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</row>
    <row r="46" spans="2:70" x14ac:dyDescent="0.2">
      <c r="B46" s="10"/>
      <c r="C46" s="10"/>
      <c r="D46" s="10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</row>
    <row r="47" spans="2:70" x14ac:dyDescent="0.2">
      <c r="B47" s="10"/>
      <c r="C47" s="10"/>
      <c r="D47" s="10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</row>
    <row r="48" spans="2:70" x14ac:dyDescent="0.2">
      <c r="B48" s="10"/>
      <c r="C48" s="10"/>
      <c r="D48" s="10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</row>
    <row r="49" spans="2:70" x14ac:dyDescent="0.2">
      <c r="B49" s="10"/>
      <c r="C49" s="10"/>
      <c r="D49" s="10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</row>
    <row r="50" spans="2:70" x14ac:dyDescent="0.2">
      <c r="B50" s="10"/>
      <c r="C50" s="10"/>
      <c r="D50" s="10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</row>
    <row r="51" spans="2:70" x14ac:dyDescent="0.2">
      <c r="B51" s="10"/>
      <c r="C51" s="10"/>
      <c r="D51" s="10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</row>
    <row r="52" spans="2:70" x14ac:dyDescent="0.2">
      <c r="B52" s="10"/>
      <c r="C52" s="10"/>
      <c r="D52" s="10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</row>
    <row r="53" spans="2:70" x14ac:dyDescent="0.2">
      <c r="B53" s="10"/>
      <c r="C53" s="10"/>
      <c r="D53" s="10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</row>
    <row r="54" spans="2:70" x14ac:dyDescent="0.2">
      <c r="B54" s="10"/>
      <c r="C54" s="10"/>
      <c r="D54" s="10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</row>
    <row r="55" spans="2:70" x14ac:dyDescent="0.2">
      <c r="B55" s="10"/>
      <c r="C55" s="10"/>
      <c r="D55" s="10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</row>
    <row r="56" spans="2:70" x14ac:dyDescent="0.2">
      <c r="B56" s="10"/>
      <c r="C56" s="10"/>
      <c r="D56" s="10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</row>
    <row r="57" spans="2:70" x14ac:dyDescent="0.2">
      <c r="B57" s="10"/>
      <c r="C57" s="10"/>
      <c r="D57" s="10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</row>
    <row r="58" spans="2:70" x14ac:dyDescent="0.2">
      <c r="B58" s="10"/>
      <c r="C58" s="10"/>
      <c r="D58" s="10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</row>
    <row r="59" spans="2:70" x14ac:dyDescent="0.2">
      <c r="B59" s="10"/>
      <c r="C59" s="10"/>
      <c r="D59" s="10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</row>
    <row r="60" spans="2:70" x14ac:dyDescent="0.2">
      <c r="B60" s="10"/>
      <c r="C60" s="10"/>
      <c r="D60" s="10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</row>
    <row r="61" spans="2:70" x14ac:dyDescent="0.2">
      <c r="B61" s="10"/>
      <c r="C61" s="10"/>
      <c r="D61" s="10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</row>
    <row r="62" spans="2:70" x14ac:dyDescent="0.2">
      <c r="B62" s="10"/>
      <c r="C62" s="10"/>
      <c r="D62" s="10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</row>
    <row r="63" spans="2:70" x14ac:dyDescent="0.2">
      <c r="B63" s="10"/>
      <c r="C63" s="10"/>
      <c r="D63" s="10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</row>
    <row r="64" spans="2:70" x14ac:dyDescent="0.2">
      <c r="B64" s="10"/>
      <c r="C64" s="10"/>
      <c r="D64" s="10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</row>
    <row r="65" spans="2:70" x14ac:dyDescent="0.2">
      <c r="B65" s="10"/>
      <c r="C65" s="10"/>
      <c r="D65" s="10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</row>
    <row r="66" spans="2:70" x14ac:dyDescent="0.2">
      <c r="B66" s="10"/>
      <c r="C66" s="10"/>
      <c r="D66" s="10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</row>
    <row r="67" spans="2:70" x14ac:dyDescent="0.2">
      <c r="B67" s="10"/>
      <c r="C67" s="10"/>
      <c r="D67" s="10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</row>
    <row r="68" spans="2:70" x14ac:dyDescent="0.2">
      <c r="B68" s="10"/>
      <c r="C68" s="10"/>
      <c r="D68" s="10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</row>
    <row r="69" spans="2:70" x14ac:dyDescent="0.2">
      <c r="B69" s="10"/>
      <c r="C69" s="10"/>
      <c r="D69" s="10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</row>
    <row r="70" spans="2:70" x14ac:dyDescent="0.2">
      <c r="B70" s="10"/>
      <c r="C70" s="10"/>
      <c r="D70" s="10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</row>
    <row r="71" spans="2:70" x14ac:dyDescent="0.2">
      <c r="B71" s="10"/>
      <c r="C71" s="10"/>
      <c r="D71" s="10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</row>
    <row r="72" spans="2:70" x14ac:dyDescent="0.2">
      <c r="B72" s="10"/>
      <c r="C72" s="10"/>
      <c r="D72" s="10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</row>
    <row r="73" spans="2:70" x14ac:dyDescent="0.2">
      <c r="B73" s="10"/>
      <c r="C73" s="10"/>
      <c r="D73" s="10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</row>
    <row r="74" spans="2:70" x14ac:dyDescent="0.2">
      <c r="B74" s="10"/>
      <c r="C74" s="10"/>
      <c r="D74" s="10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</row>
    <row r="75" spans="2:70" x14ac:dyDescent="0.2">
      <c r="B75" s="10"/>
      <c r="C75" s="10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</row>
    <row r="76" spans="2:70" x14ac:dyDescent="0.2">
      <c r="B76" s="10"/>
      <c r="C76" s="10"/>
      <c r="D76" s="10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</row>
    <row r="77" spans="2:70" x14ac:dyDescent="0.2">
      <c r="B77" s="10"/>
      <c r="C77" s="10"/>
      <c r="D77" s="10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</row>
    <row r="78" spans="2:70" x14ac:dyDescent="0.2">
      <c r="B78" s="10"/>
      <c r="C78" s="10"/>
      <c r="D78" s="10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</row>
    <row r="79" spans="2:70" x14ac:dyDescent="0.2">
      <c r="B79" s="10"/>
      <c r="C79" s="10"/>
      <c r="D79" s="10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</row>
    <row r="80" spans="2:70" x14ac:dyDescent="0.2">
      <c r="B80" s="10"/>
      <c r="C80" s="10"/>
      <c r="D80" s="10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</row>
    <row r="81" spans="2:70" x14ac:dyDescent="0.2">
      <c r="B81" s="10"/>
      <c r="C81" s="10"/>
      <c r="D81" s="10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</row>
    <row r="82" spans="2:70" x14ac:dyDescent="0.2">
      <c r="B82" s="10"/>
      <c r="C82" s="10"/>
      <c r="D82" s="10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</row>
    <row r="83" spans="2:70" x14ac:dyDescent="0.2">
      <c r="B83" s="10"/>
      <c r="C83" s="10"/>
      <c r="D83" s="10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</row>
    <row r="84" spans="2:70" x14ac:dyDescent="0.2">
      <c r="B84" s="10"/>
      <c r="C84" s="10"/>
      <c r="D84" s="10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</row>
    <row r="85" spans="2:70" x14ac:dyDescent="0.2">
      <c r="B85" s="10"/>
      <c r="C85" s="10"/>
      <c r="D85" s="10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</row>
    <row r="86" spans="2:70" x14ac:dyDescent="0.2">
      <c r="B86" s="10"/>
      <c r="C86" s="10"/>
      <c r="D86" s="10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</row>
    <row r="87" spans="2:70" x14ac:dyDescent="0.2">
      <c r="B87" s="10"/>
      <c r="C87" s="10"/>
      <c r="D87" s="10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</row>
    <row r="88" spans="2:70" x14ac:dyDescent="0.2">
      <c r="B88" s="10"/>
      <c r="C88" s="10"/>
      <c r="D88" s="10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</row>
    <row r="89" spans="2:70" x14ac:dyDescent="0.2">
      <c r="B89" s="10"/>
      <c r="C89" s="10"/>
      <c r="D89" s="10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</row>
    <row r="90" spans="2:70" x14ac:dyDescent="0.2">
      <c r="B90" s="10"/>
      <c r="C90" s="10"/>
      <c r="D90" s="10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</row>
    <row r="91" spans="2:70" x14ac:dyDescent="0.2">
      <c r="B91" s="10"/>
      <c r="C91" s="10"/>
      <c r="D91" s="10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</row>
    <row r="92" spans="2:70" x14ac:dyDescent="0.2">
      <c r="B92" s="10"/>
      <c r="C92" s="10"/>
      <c r="D92" s="10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</row>
    <row r="93" spans="2:70" x14ac:dyDescent="0.2">
      <c r="B93" s="10"/>
      <c r="C93" s="10"/>
      <c r="D93" s="10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</row>
    <row r="94" spans="2:70" x14ac:dyDescent="0.2">
      <c r="B94" s="10"/>
      <c r="C94" s="10"/>
      <c r="D94" s="10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</row>
    <row r="95" spans="2:70" x14ac:dyDescent="0.2">
      <c r="B95" s="10"/>
      <c r="C95" s="10"/>
      <c r="D95" s="10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</row>
    <row r="96" spans="2:70" x14ac:dyDescent="0.2">
      <c r="B96" s="10"/>
      <c r="C96" s="10"/>
      <c r="D96" s="10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</row>
    <row r="97" spans="2:70" x14ac:dyDescent="0.2">
      <c r="B97" s="10"/>
      <c r="C97" s="10"/>
      <c r="D97" s="10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</row>
    <row r="98" spans="2:70" x14ac:dyDescent="0.2">
      <c r="B98" s="10"/>
      <c r="C98" s="10"/>
      <c r="D98" s="10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</row>
    <row r="99" spans="2:70" x14ac:dyDescent="0.2">
      <c r="B99" s="10"/>
      <c r="C99" s="10"/>
      <c r="D99" s="10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</row>
    <row r="100" spans="2:70" x14ac:dyDescent="0.2">
      <c r="B100" s="10"/>
      <c r="C100" s="10"/>
      <c r="D100" s="10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</row>
    <row r="101" spans="2:70" x14ac:dyDescent="0.2">
      <c r="B101" s="10"/>
      <c r="C101" s="10"/>
      <c r="D101" s="10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</row>
    <row r="102" spans="2:70" x14ac:dyDescent="0.2">
      <c r="B102" s="10"/>
      <c r="C102" s="10"/>
      <c r="D102" s="10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</row>
    <row r="103" spans="2:70" x14ac:dyDescent="0.2">
      <c r="B103" s="10"/>
      <c r="C103" s="10"/>
      <c r="D103" s="10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</row>
    <row r="104" spans="2:70" x14ac:dyDescent="0.2">
      <c r="B104" s="10"/>
      <c r="C104" s="10"/>
      <c r="D104" s="10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</row>
    <row r="105" spans="2:70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</row>
    <row r="106" spans="2:70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</row>
    <row r="107" spans="2:70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</row>
    <row r="108" spans="2:70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</row>
    <row r="109" spans="2:70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</row>
    <row r="110" spans="2:70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</row>
    <row r="111" spans="2:70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</row>
    <row r="112" spans="2:70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</row>
    <row r="113" spans="2:70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</row>
    <row r="114" spans="2:70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</row>
    <row r="115" spans="2:70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</row>
    <row r="116" spans="2:70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</row>
    <row r="117" spans="2:70" x14ac:dyDescent="0.2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</row>
    <row r="118" spans="2:70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</row>
    <row r="119" spans="2:70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</row>
    <row r="120" spans="2:70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</row>
    <row r="121" spans="2:70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</row>
    <row r="122" spans="2:70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</row>
    <row r="123" spans="2:70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</row>
    <row r="124" spans="2:70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</row>
    <row r="125" spans="2:70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</row>
    <row r="126" spans="2:70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</row>
    <row r="127" spans="2:70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</row>
    <row r="128" spans="2:70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</row>
    <row r="129" spans="2:70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</row>
    <row r="130" spans="2:70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</row>
    <row r="131" spans="2:70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</row>
    <row r="132" spans="2:70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</row>
    <row r="133" spans="2:70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</row>
    <row r="134" spans="2:70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</row>
    <row r="135" spans="2:70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</row>
    <row r="136" spans="2:70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</row>
    <row r="137" spans="2:70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</row>
    <row r="138" spans="2:70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</row>
    <row r="139" spans="2:70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</row>
  </sheetData>
  <dataConsolidate/>
  <mergeCells count="13">
    <mergeCell ref="BL3:BN3"/>
    <mergeCell ref="Y3:AA3"/>
    <mergeCell ref="AB3:AO3"/>
    <mergeCell ref="AQ3:AT3"/>
    <mergeCell ref="AU3:AY3"/>
    <mergeCell ref="AZ3:BA3"/>
    <mergeCell ref="BB3:BC3"/>
    <mergeCell ref="BD3:BK3"/>
    <mergeCell ref="S3:W3"/>
    <mergeCell ref="A3:D3"/>
    <mergeCell ref="E3:I3"/>
    <mergeCell ref="K3:L3"/>
    <mergeCell ref="N3:R3"/>
  </mergeCells>
  <dataValidations count="1">
    <dataValidation allowBlank="1" showInputMessage="1" sqref="AE1:AE4 AE154:AE1048576" xr:uid="{00000000-0002-0000-0000-000000000000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4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F5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G5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I5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J5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K5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O5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Q5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R5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X5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Y5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AB5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AC5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AE5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AJ5:AJ15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W5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AT5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AW5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AY5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BN5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H5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R6:R15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J6:J15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F6:F15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G6:G15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H6:H15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I6:I15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K6:K15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O6:O15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Q6:Q15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X6:X15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Y6:Y15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AB6:AB15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AC6:AC15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AE6:AE15</xm:sqref>
        </x14:dataValidation>
        <x14:dataValidation type="list" allowBlank="1" showInputMessage="1" showErrorMessage="1" xr:uid="{00000000-0002-0000-0000-000025000000}">
          <x14:formula1>
            <xm:f>Validations!$W$3:$W$5</xm:f>
          </x14:formula1>
          <xm:sqref>AT6:AT15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AW6:AW15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AY6:AY15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BN6:BN15</xm:sqref>
        </x14:dataValidation>
        <x14:dataValidation type="list" allowBlank="1" showInputMessage="1" showErrorMessage="1" xr:uid="{00000000-0002-0000-0000-000029000000}">
          <x14:formula1>
            <xm:f>Validations!$L$3:$L$8</xm:f>
          </x14:formula1>
          <xm:sqref>W6:W15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3"/>
  <sheetViews>
    <sheetView topLeftCell="I1" workbookViewId="0">
      <selection activeCell="W5" sqref="W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244</v>
      </c>
    </row>
    <row r="3" spans="1:23" x14ac:dyDescent="0.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  <c r="W3" s="1" t="s">
        <v>245</v>
      </c>
    </row>
    <row r="4" spans="1:23" x14ac:dyDescent="0.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  <c r="W4" s="1" t="s">
        <v>197</v>
      </c>
    </row>
    <row r="5" spans="1:23" x14ac:dyDescent="0.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  <c r="W5" s="1" t="s">
        <v>246</v>
      </c>
    </row>
    <row r="6" spans="1:23" x14ac:dyDescent="0.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3" x14ac:dyDescent="0.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3" x14ac:dyDescent="0.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3" x14ac:dyDescent="0.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3" x14ac:dyDescent="0.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3" x14ac:dyDescent="0.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2019-10-25T22:22:21Z</dcterms:modified>
</cp:coreProperties>
</file>