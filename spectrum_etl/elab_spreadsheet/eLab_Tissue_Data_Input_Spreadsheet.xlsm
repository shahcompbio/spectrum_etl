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6850CBE3-FF7B-8C49-831B-5DF64E078352}" xr6:coauthVersionLast="45" xr6:coauthVersionMax="45" xr10:uidLastSave="{00000000-0000-0000-0000-000000000000}"/>
  <bookViews>
    <workbookView xWindow="720" yWindow="460" windowWidth="30360" windowHeight="160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3" l="1"/>
  <c r="BD92" i="3" l="1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AI65" i="3" s="1"/>
  <c r="W65" i="3"/>
  <c r="P65" i="3"/>
  <c r="M65" i="3"/>
  <c r="J65" i="3"/>
  <c r="F65" i="3"/>
  <c r="A65" i="3"/>
  <c r="BD64" i="3"/>
  <c r="AF64" i="3"/>
  <c r="AI64" i="3" s="1"/>
  <c r="W64" i="3"/>
  <c r="P64" i="3"/>
  <c r="M64" i="3"/>
  <c r="J64" i="3"/>
  <c r="F64" i="3"/>
  <c r="A64" i="3"/>
  <c r="BD63" i="3"/>
  <c r="AF63" i="3"/>
  <c r="AI63" i="3" s="1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AI61" i="3" s="1"/>
  <c r="W61" i="3"/>
  <c r="P61" i="3"/>
  <c r="M61" i="3"/>
  <c r="J61" i="3"/>
  <c r="F61" i="3"/>
  <c r="A61" i="3"/>
  <c r="BD60" i="3"/>
  <c r="AF60" i="3"/>
  <c r="W60" i="3"/>
  <c r="P60" i="3"/>
  <c r="M60" i="3"/>
  <c r="J60" i="3"/>
  <c r="F60" i="3"/>
  <c r="A60" i="3"/>
  <c r="BD59" i="3"/>
  <c r="AF59" i="3"/>
  <c r="AI59" i="3" s="1"/>
  <c r="W59" i="3"/>
  <c r="P59" i="3"/>
  <c r="M59" i="3"/>
  <c r="J59" i="3"/>
  <c r="F59" i="3"/>
  <c r="A59" i="3"/>
  <c r="BD58" i="3"/>
  <c r="AF58" i="3"/>
  <c r="W58" i="3"/>
  <c r="P58" i="3"/>
  <c r="M58" i="3"/>
  <c r="J58" i="3"/>
  <c r="F58" i="3"/>
  <c r="A58" i="3"/>
  <c r="BD57" i="3"/>
  <c r="AF57" i="3"/>
  <c r="AI57" i="3" s="1"/>
  <c r="W57" i="3"/>
  <c r="P57" i="3"/>
  <c r="M57" i="3"/>
  <c r="J57" i="3"/>
  <c r="F57" i="3"/>
  <c r="A57" i="3"/>
  <c r="BD56" i="3"/>
  <c r="AF56" i="3"/>
  <c r="W56" i="3"/>
  <c r="P56" i="3"/>
  <c r="M56" i="3"/>
  <c r="J56" i="3"/>
  <c r="F56" i="3"/>
  <c r="A56" i="3"/>
  <c r="BD55" i="3"/>
  <c r="AF55" i="3"/>
  <c r="AI55" i="3" s="1"/>
  <c r="W55" i="3"/>
  <c r="P55" i="3"/>
  <c r="M55" i="3"/>
  <c r="J55" i="3"/>
  <c r="F55" i="3"/>
  <c r="A55" i="3"/>
  <c r="BD54" i="3"/>
  <c r="AF54" i="3"/>
  <c r="W54" i="3"/>
  <c r="P54" i="3"/>
  <c r="M54" i="3"/>
  <c r="J54" i="3"/>
  <c r="F54" i="3"/>
  <c r="A54" i="3"/>
  <c r="BD53" i="3"/>
  <c r="AF53" i="3"/>
  <c r="AI53" i="3" s="1"/>
  <c r="W53" i="3"/>
  <c r="P53" i="3"/>
  <c r="M53" i="3"/>
  <c r="J53" i="3"/>
  <c r="F53" i="3"/>
  <c r="A53" i="3"/>
  <c r="BD52" i="3"/>
  <c r="AF52" i="3"/>
  <c r="W52" i="3"/>
  <c r="P52" i="3"/>
  <c r="M52" i="3"/>
  <c r="J52" i="3"/>
  <c r="F52" i="3"/>
  <c r="A52" i="3"/>
  <c r="BD51" i="3"/>
  <c r="AF51" i="3"/>
  <c r="AI51" i="3" s="1"/>
  <c r="W51" i="3"/>
  <c r="P51" i="3"/>
  <c r="M51" i="3"/>
  <c r="J51" i="3"/>
  <c r="F51" i="3"/>
  <c r="A51" i="3"/>
  <c r="BD50" i="3"/>
  <c r="AF50" i="3"/>
  <c r="W50" i="3"/>
  <c r="P50" i="3"/>
  <c r="M50" i="3"/>
  <c r="J50" i="3"/>
  <c r="F50" i="3"/>
  <c r="A50" i="3"/>
  <c r="BD49" i="3"/>
  <c r="AF49" i="3"/>
  <c r="AI49" i="3" s="1"/>
  <c r="W49" i="3"/>
  <c r="P49" i="3"/>
  <c r="M49" i="3"/>
  <c r="J49" i="3"/>
  <c r="F49" i="3"/>
  <c r="A49" i="3"/>
  <c r="BD48" i="3"/>
  <c r="AF48" i="3"/>
  <c r="W48" i="3"/>
  <c r="P48" i="3"/>
  <c r="M48" i="3"/>
  <c r="J48" i="3"/>
  <c r="F48" i="3"/>
  <c r="A48" i="3"/>
  <c r="BD47" i="3"/>
  <c r="AF47" i="3"/>
  <c r="AI47" i="3" s="1"/>
  <c r="W47" i="3"/>
  <c r="P47" i="3"/>
  <c r="M47" i="3"/>
  <c r="J47" i="3"/>
  <c r="F47" i="3"/>
  <c r="A47" i="3"/>
  <c r="BD46" i="3"/>
  <c r="AF46" i="3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W35" i="3"/>
  <c r="P35" i="3"/>
  <c r="M35" i="3"/>
  <c r="J35" i="3"/>
  <c r="F35" i="3"/>
  <c r="A35" i="3"/>
  <c r="BD34" i="3"/>
  <c r="AF34" i="3"/>
  <c r="AI34" i="3" s="1"/>
  <c r="W34" i="3"/>
  <c r="P34" i="3"/>
  <c r="M34" i="3"/>
  <c r="J34" i="3"/>
  <c r="F34" i="3"/>
  <c r="A34" i="3"/>
  <c r="BD33" i="3"/>
  <c r="AF33" i="3"/>
  <c r="AI33" i="3" s="1"/>
  <c r="W33" i="3"/>
  <c r="P33" i="3"/>
  <c r="M33" i="3"/>
  <c r="J33" i="3"/>
  <c r="F33" i="3"/>
  <c r="A33" i="3"/>
  <c r="BD32" i="3"/>
  <c r="AF32" i="3"/>
  <c r="AI32" i="3" s="1"/>
  <c r="W32" i="3"/>
  <c r="P32" i="3"/>
  <c r="M32" i="3"/>
  <c r="J32" i="3"/>
  <c r="F32" i="3"/>
  <c r="A32" i="3"/>
  <c r="BD31" i="3"/>
  <c r="AF31" i="3"/>
  <c r="AI31" i="3" s="1"/>
  <c r="W31" i="3"/>
  <c r="P31" i="3"/>
  <c r="M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F6" i="3"/>
  <c r="A6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G100" i="1" s="1"/>
  <c r="AF99" i="1"/>
  <c r="AG99" i="1" s="1"/>
  <c r="AF98" i="1"/>
  <c r="AG98" i="1" s="1"/>
  <c r="AF97" i="1"/>
  <c r="AI97" i="1" s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I90" i="1" s="1"/>
  <c r="AF89" i="1"/>
  <c r="AI89" i="1" s="1"/>
  <c r="AF88" i="1"/>
  <c r="AI88" i="1" s="1"/>
  <c r="AF87" i="1"/>
  <c r="AG87" i="1" s="1"/>
  <c r="AF86" i="1"/>
  <c r="AG86" i="1" s="1"/>
  <c r="AF85" i="1"/>
  <c r="AI85" i="1" s="1"/>
  <c r="AF84" i="1"/>
  <c r="AG84" i="1" s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G78" i="1" s="1"/>
  <c r="AF77" i="1"/>
  <c r="AI77" i="1" s="1"/>
  <c r="AF76" i="1"/>
  <c r="AI76" i="1" s="1"/>
  <c r="AF75" i="1"/>
  <c r="AG75" i="1" s="1"/>
  <c r="AF74" i="1"/>
  <c r="AG74" i="1" s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G62" i="1" s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I50" i="1" s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G26" i="1" s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I14" i="1" s="1"/>
  <c r="AF13" i="1"/>
  <c r="AI13" i="1" s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G63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G50" i="1" l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<sst xmlns="http://schemas.openxmlformats.org/spreadsheetml/2006/main" count="435" uniqueCount="291">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</sst>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61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topLeftCell="E1" zoomScaleNormal="100" workbookViewId="0">
      <pane ySplit="4" topLeftCell="A6" activePane="bottomLeft" state="frozen"/>
      <selection activeCell="P1" sqref="P1"/>
      <selection pane="bottomLeft" activeCell="S6" sqref="S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236</v>
      </c>
      <c r="K1" s="21" t="s">
        <v>237</v>
      </c>
      <c r="L1" s="22" t="s">
        <v>238</v>
      </c>
    </row>
    <row r="2" spans="1:79" ht="17" thickTop="1" x14ac:dyDescent="0.2"/>
    <row r="3" spans="1:79" s="6" customFormat="1" x14ac:dyDescent="0.2">
      <c r="A3" s="50" t="s">
        <v>41</v>
      </c>
      <c r="B3" s="50"/>
      <c r="C3" s="50"/>
      <c r="D3" s="50"/>
      <c r="E3" s="50"/>
      <c r="F3" s="50" t="s">
        <v>42</v>
      </c>
      <c r="G3" s="50"/>
      <c r="H3" s="50"/>
      <c r="I3" s="50"/>
      <c r="J3" s="50"/>
      <c r="K3" s="50"/>
      <c r="L3" s="13" t="s">
        <v>43</v>
      </c>
      <c r="M3" s="50" t="s">
        <v>44</v>
      </c>
      <c r="N3" s="50"/>
      <c r="O3" s="7"/>
      <c r="P3" s="50" t="s">
        <v>45</v>
      </c>
      <c r="Q3" s="50"/>
      <c r="R3" s="50"/>
      <c r="S3" s="50"/>
      <c r="T3" s="50"/>
      <c r="U3" s="50" t="s">
        <v>46</v>
      </c>
      <c r="V3" s="50"/>
      <c r="W3" s="50"/>
      <c r="X3" s="50"/>
      <c r="Y3" s="50"/>
      <c r="Z3" s="6" t="s">
        <v>47</v>
      </c>
      <c r="AA3" s="50" t="s">
        <v>48</v>
      </c>
      <c r="AB3" s="50"/>
      <c r="AC3" s="50"/>
      <c r="AD3" s="50" t="s">
        <v>263</v>
      </c>
      <c r="AE3" s="51"/>
      <c r="AF3" s="50" t="s">
        <v>264</v>
      </c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0" t="s">
        <v>49</v>
      </c>
      <c r="AR3" s="50"/>
      <c r="AS3" s="50"/>
      <c r="AT3" s="50"/>
      <c r="AU3" s="50" t="s">
        <v>50</v>
      </c>
      <c r="AV3" s="50"/>
      <c r="AW3" s="28"/>
      <c r="AX3" s="28" t="s">
        <v>265</v>
      </c>
      <c r="AY3" s="50" t="s">
        <v>51</v>
      </c>
      <c r="AZ3" s="50"/>
      <c r="BA3" s="50" t="s">
        <v>52</v>
      </c>
      <c r="BB3" s="50"/>
      <c r="BC3" s="50" t="s">
        <v>214</v>
      </c>
      <c r="BD3" s="51"/>
      <c r="BE3" s="51"/>
      <c r="BF3" s="51"/>
      <c r="BG3" s="51"/>
      <c r="BH3" s="51"/>
      <c r="BI3" s="51"/>
      <c r="BJ3" s="51"/>
      <c r="BK3" s="51"/>
      <c r="BL3" s="50" t="s">
        <v>53</v>
      </c>
      <c r="BM3" s="50"/>
      <c r="BN3" s="50"/>
      <c r="BO3" s="6" t="s">
        <v>266</v>
      </c>
      <c r="BP3" s="50" t="s">
        <v>269</v>
      </c>
      <c r="BQ3" s="51"/>
      <c r="BR3" s="50" t="s">
        <v>274</v>
      </c>
      <c r="BS3" s="51"/>
      <c r="BT3" s="51"/>
      <c r="BU3" s="51"/>
      <c r="BV3" s="51"/>
      <c r="BW3" s="51"/>
      <c r="BX3" s="50" t="s">
        <v>279</v>
      </c>
      <c r="BY3" s="51"/>
      <c r="BZ3" s="51"/>
      <c r="CA3" s="51"/>
    </row>
    <row r="4" spans="1:79" s="5" customFormat="1" x14ac:dyDescent="0.2">
      <c r="A4" s="5" t="s">
        <v>1</v>
      </c>
      <c r="B4" s="5" t="s">
        <v>212</v>
      </c>
      <c r="C4" s="5" t="s">
        <v>213</v>
      </c>
      <c r="D4" s="19" t="s">
        <v>0</v>
      </c>
      <c r="E4" s="19" t="s">
        <v>234</v>
      </c>
      <c r="F4" s="5" t="s">
        <v>2</v>
      </c>
      <c r="G4" s="19" t="s">
        <v>3</v>
      </c>
      <c r="H4" s="19" t="s">
        <v>267</v>
      </c>
      <c r="I4" s="19" t="s">
        <v>4</v>
      </c>
      <c r="J4" s="5" t="s">
        <v>5</v>
      </c>
      <c r="K4" s="19" t="s">
        <v>211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230</v>
      </c>
      <c r="AG4" s="5" t="s">
        <v>229</v>
      </c>
      <c r="AH4" s="5" t="s">
        <v>244</v>
      </c>
      <c r="AI4" s="5" t="s">
        <v>27</v>
      </c>
      <c r="AJ4" s="5" t="s">
        <v>228</v>
      </c>
      <c r="AK4" s="5" t="s">
        <v>227</v>
      </c>
      <c r="AL4" s="5" t="s">
        <v>226</v>
      </c>
      <c r="AM4" s="5" t="s">
        <v>225</v>
      </c>
      <c r="AN4" s="5" t="s">
        <v>224</v>
      </c>
      <c r="AO4" s="5" t="s">
        <v>223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232</v>
      </c>
      <c r="AU4" s="5" t="s">
        <v>33</v>
      </c>
      <c r="AV4" s="5" t="s">
        <v>34</v>
      </c>
      <c r="AW4" s="5" t="s">
        <v>260</v>
      </c>
      <c r="AX4" s="5" t="s">
        <v>259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215</v>
      </c>
      <c r="BD4" s="5" t="s">
        <v>222</v>
      </c>
      <c r="BE4" s="5" t="s">
        <v>221</v>
      </c>
      <c r="BF4" s="5" t="s">
        <v>220</v>
      </c>
      <c r="BG4" s="5" t="s">
        <v>219</v>
      </c>
      <c r="BH4" s="5" t="s">
        <v>280</v>
      </c>
      <c r="BI4" s="5" t="s">
        <v>218</v>
      </c>
      <c r="BJ4" s="5" t="s">
        <v>217</v>
      </c>
      <c r="BK4" s="5" t="s">
        <v>216</v>
      </c>
      <c r="BL4" s="5" t="s">
        <v>231</v>
      </c>
      <c r="BM4" s="5" t="s">
        <v>39</v>
      </c>
      <c r="BN4" s="5" t="s">
        <v>40</v>
      </c>
      <c r="BO4" s="5" t="s">
        <v>258</v>
      </c>
      <c r="BP4" s="5" t="s">
        <v>254</v>
      </c>
      <c r="BQ4" s="5" t="s">
        <v>255</v>
      </c>
      <c r="BR4" s="5" t="s">
        <v>256</v>
      </c>
      <c r="BS4" s="5" t="s">
        <v>257</v>
      </c>
      <c r="BT4" s="5" t="s">
        <v>270</v>
      </c>
      <c r="BU4" s="5" t="s">
        <v>271</v>
      </c>
      <c r="BV4" s="5" t="s">
        <v>272</v>
      </c>
      <c r="BW4" s="5" t="s">
        <v>273</v>
      </c>
      <c r="BX4" s="5" t="s">
        <v>275</v>
      </c>
      <c r="BY4" s="5" t="s">
        <v>276</v>
      </c>
      <c r="BZ4" s="5" t="s">
        <v>277</v>
      </c>
      <c r="CA4" s="5" t="s">
        <v>278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208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10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10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10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10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10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10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10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10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10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10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10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10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10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10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10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/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10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10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10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10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10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10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10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10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10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10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10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10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60" priority="69">
      <formula>$L6="Yes"</formula>
    </cfRule>
  </conditionalFormatting>
  <conditionalFormatting sqref="A6:A100">
    <cfRule type="containsBlanks" dxfId="59" priority="68">
      <formula>LEN(TRIM(A6))=0</formula>
    </cfRule>
  </conditionalFormatting>
  <conditionalFormatting sqref="M6 M39:M100">
    <cfRule type="expression" dxfId="58" priority="67">
      <formula>$L6="Yes"</formula>
    </cfRule>
  </conditionalFormatting>
  <conditionalFormatting sqref="U6:V100 X6:Y100">
    <cfRule type="expression" dxfId="57" priority="66">
      <formula>$T6="Single Cell Suspension"</formula>
    </cfRule>
  </conditionalFormatting>
  <conditionalFormatting sqref="Z6:AE100">
    <cfRule type="expression" dxfId="56" priority="73">
      <formula>$Y6="Unsorted Single Cell Sequencing"</formula>
    </cfRule>
  </conditionalFormatting>
  <conditionalFormatting sqref="AD6:AE100">
    <cfRule type="expression" dxfId="55" priority="72">
      <formula>$Y6="Unsorted Single Cell Sequencing"</formula>
    </cfRule>
  </conditionalFormatting>
  <conditionalFormatting sqref="AJ6:AP100">
    <cfRule type="notContainsBlanks" dxfId="54" priority="43">
      <formula>LEN(TRIM(AJ6))&gt;0</formula>
    </cfRule>
    <cfRule type="expression" dxfId="53" priority="44">
      <formula>$Y6="Sorted Single Cell Sequencing"</formula>
    </cfRule>
    <cfRule type="expression" dxfId="52" priority="45">
      <formula>$Y6="Unsorted Single Cell Sequencing"</formula>
    </cfRule>
  </conditionalFormatting>
  <conditionalFormatting sqref="X6:Y100 AU8:AX100 AU7:AW7 AU6:AX6">
    <cfRule type="notContainsBlanks" dxfId="51" priority="13">
      <formula>LEN(TRIM(X6))&gt;0</formula>
    </cfRule>
  </conditionalFormatting>
  <conditionalFormatting sqref="AQ6:AT100">
    <cfRule type="notContainsBlanks" dxfId="50" priority="5">
      <formula>LEN(TRIM(AQ6))&gt;0</formula>
    </cfRule>
    <cfRule type="expression" dxfId="49" priority="55">
      <formula>$T6="Frozen Tissue"</formula>
    </cfRule>
    <cfRule type="expression" dxfId="48" priority="59">
      <formula>$T6="FFPE Block"</formula>
    </cfRule>
  </conditionalFormatting>
  <conditionalFormatting sqref="U6:V100">
    <cfRule type="notContainsBlanks" dxfId="47" priority="35">
      <formula>LEN(TRIM(U6))&gt;0</formula>
    </cfRule>
    <cfRule type="notContainsBlanks" dxfId="46" priority="103">
      <formula>LEN(TRIM(U6))&gt;0</formula>
    </cfRule>
    <cfRule type="expression" dxfId="45" priority="104">
      <formula>$T6="Single Cell Suspension"</formula>
    </cfRule>
  </conditionalFormatting>
  <conditionalFormatting sqref="AU8:BC100 AU6:AW7 AY6:BK6 AY7:BC7 BD7:BK100">
    <cfRule type="expression" dxfId="44" priority="58">
      <formula>$AT6="IF"</formula>
    </cfRule>
  </conditionalFormatting>
  <conditionalFormatting sqref="AY6:AZ100">
    <cfRule type="expression" dxfId="43" priority="53">
      <formula>$AW6="Curls"</formula>
    </cfRule>
  </conditionalFormatting>
  <conditionalFormatting sqref="AU8:BC100 AU6:AW7 AY6:BN6 AY7:BC7 BD7:BN100">
    <cfRule type="expression" dxfId="42" priority="75">
      <formula>$AT6="Storage Only"</formula>
    </cfRule>
  </conditionalFormatting>
  <conditionalFormatting sqref="AY6:BC100">
    <cfRule type="notContainsBlanks" dxfId="41" priority="24">
      <formula>LEN(TRIM(AY6))&gt;0</formula>
    </cfRule>
    <cfRule type="expression" dxfId="40" priority="50">
      <formula>$AW6="Microdissect"</formula>
    </cfRule>
  </conditionalFormatting>
  <conditionalFormatting sqref="BL6:BN100">
    <cfRule type="notContainsBlanks" dxfId="39" priority="27">
      <formula>LEN(TRIM(BL6))&gt;0</formula>
    </cfRule>
    <cfRule type="expression" dxfId="38" priority="30">
      <formula>$AT6="IF"</formula>
    </cfRule>
  </conditionalFormatting>
  <conditionalFormatting sqref="O6:O100">
    <cfRule type="expression" dxfId="37" priority="37">
      <formula>$L6="No"</formula>
    </cfRule>
  </conditionalFormatting>
  <conditionalFormatting sqref="BE6:BK100">
    <cfRule type="notContainsBlanks" dxfId="36" priority="11">
      <formula>LEN(TRIM(BE6))&gt;0</formula>
    </cfRule>
    <cfRule type="expression" dxfId="35" priority="49">
      <formula>$BD6="IGO"</formula>
    </cfRule>
  </conditionalFormatting>
  <conditionalFormatting sqref="Z6:AE100">
    <cfRule type="notContainsBlanks" dxfId="34" priority="60">
      <formula>LEN(TRIM(Z6))&gt;0</formula>
    </cfRule>
    <cfRule type="expression" dxfId="33" priority="61">
      <formula>$Y6="Sorted Single Cell Sequencing"</formula>
    </cfRule>
  </conditionalFormatting>
  <conditionalFormatting sqref="AU6:BC100">
    <cfRule type="expression" dxfId="32" priority="54">
      <formula>$T6="FFPE Block"</formula>
    </cfRule>
  </conditionalFormatting>
  <conditionalFormatting sqref="AG6:AP100 U6:AE100">
    <cfRule type="expression" dxfId="31" priority="36">
      <formula>$T6="Frozen Tissue"</formula>
    </cfRule>
    <cfRule type="expression" dxfId="30" priority="40">
      <formula>$T6="FFPE Block"</formula>
    </cfRule>
  </conditionalFormatting>
  <conditionalFormatting sqref="BP6:CA100">
    <cfRule type="notContainsBlanks" dxfId="29" priority="3">
      <formula>LEN(TRIM(BP6))&gt;0</formula>
    </cfRule>
    <cfRule type="expression" dxfId="28" priority="1">
      <formula>$Y6="Storage Only"</formula>
    </cfRule>
  </conditionalFormatting>
  <conditionalFormatting sqref="BO6:BO100">
    <cfRule type="notContainsBlanks" dxfId="27" priority="14">
      <formula>LEN(TRIM(BO6))&gt;0</formula>
    </cfRule>
    <cfRule type="expression" dxfId="26" priority="19">
      <formula>$Y6 = "Storage Only"</formula>
    </cfRule>
  </conditionalFormatting>
  <conditionalFormatting sqref="AH6:AH100">
    <cfRule type="notContainsBlanks" dxfId="25" priority="4">
      <formula>LEN(TRIM(AH6))&gt;0</formula>
    </cfRule>
    <cfRule type="expression" dxfId="24" priority="23">
      <formula>$AE6 = "scRNA Sequencing"</formula>
    </cfRule>
    <cfRule type="expression" dxfId="23" priority="22">
      <formula>$AE6="DLP"</formula>
    </cfRule>
  </conditionalFormatting>
  <conditionalFormatting sqref="M7:M11">
    <cfRule type="expression" dxfId="22" priority="17">
      <formula>$L7="Yes"</formula>
    </cfRule>
  </conditionalFormatting>
  <conditionalFormatting sqref="M12:M38">
    <cfRule type="expression" dxfId="21" priority="16">
      <formula>$L12="Yes"</formula>
    </cfRule>
  </conditionalFormatting>
  <conditionalFormatting sqref="AU6:AW100">
    <cfRule type="expression" dxfId="20" priority="56">
      <formula>$AT6="WGS Bulk Tumour"</formula>
    </cfRule>
  </conditionalFormatting>
  <conditionalFormatting sqref="AX6:AX100">
    <cfRule type="expression" dxfId="19" priority="34">
      <formula>$AW6="Microdissect"</formula>
    </cfRule>
  </conditionalFormatting>
  <conditionalFormatting sqref="AX6">
    <cfRule type="expression" dxfId="18" priority="106">
      <formula>$Y7="Storage Only"</formula>
    </cfRule>
  </conditionalFormatting>
  <conditionalFormatting sqref="AX6">
    <cfRule type="expression" dxfId="17" priority="108">
      <formula>$AT7="IF"</formula>
    </cfRule>
  </conditionalFormatting>
  <conditionalFormatting sqref="AX6">
    <cfRule type="expression" dxfId="16" priority="110">
      <formula>$AT7="Storage Only"</formula>
    </cfRule>
  </conditionalFormatting>
  <conditionalFormatting sqref="AX6">
    <cfRule type="expression" dxfId="15" priority="114">
      <formula>$T7="Single Cell Suspension"</formula>
    </cfRule>
  </conditionalFormatting>
  <conditionalFormatting sqref="AX6:AX100 BA6 BA6:BC100">
    <cfRule type="expression" dxfId="14" priority="28">
      <formula>$AW6="Curls"</formula>
    </cfRule>
  </conditionalFormatting>
  <conditionalFormatting sqref="AQ6:BN100">
    <cfRule type="expression" dxfId="13" priority="31">
      <formula>$T6="Single Cell Suspensions"</formula>
    </cfRule>
  </conditionalFormatting>
  <conditionalFormatting sqref="BD6:BK100">
    <cfRule type="expression" dxfId="12" priority="46">
      <formula>$T6="FFPE Block"</formula>
    </cfRule>
  </conditionalFormatting>
  <conditionalFormatting sqref="Z6:BN100">
    <cfRule type="expression" dxfId="11" priority="74">
      <formula>$Y6="Storage Only"</formula>
    </cfRule>
  </conditionalFormatting>
  <conditionalFormatting sqref="AQ6:BO100">
    <cfRule type="expression" dxfId="10" priority="48">
      <formula>$AE6="DLP"</formula>
    </cfRule>
  </conditionalFormatting>
  <conditionalFormatting sqref="BX6:CA100">
    <cfRule type="expression" dxfId="9" priority="10">
      <formula>$BQ6="BCCRC"</formula>
    </cfRule>
    <cfRule type="expression" dxfId="8" priority="6">
      <formula>$BQ6="IGO"</formula>
    </cfRule>
  </conditionalFormatting>
  <conditionalFormatting sqref="BX13:CA13">
    <cfRule type="notContainsBlanks" dxfId="7" priority="8">
      <formula>LEN(TRIM(BX13))&gt;0</formula>
    </cfRule>
  </conditionalFormatting>
  <conditionalFormatting sqref="BO6:CA100">
    <cfRule type="expression" dxfId="6" priority="25">
      <formula>$AT6 = "Storage Only"</formula>
    </cfRule>
    <cfRule type="expression" dxfId="5" priority="2">
      <formula>$T5="FFPE Block"</formula>
    </cfRule>
  </conditionalFormatting>
  <conditionalFormatting sqref="BP6:BQ100">
    <cfRule type="expression" dxfId="4" priority="26">
      <formula>$AE6 = "DLP"</formula>
    </cfRule>
  </conditionalFormatting>
  <conditionalFormatting sqref="BR6:BW100">
    <cfRule type="expression" dxfId="3" priority="18">
      <formula>$BQ6="BCCRC"</formula>
    </cfRule>
    <cfRule type="expression" dxfId="2" priority="7">
      <formula>$BQ6="IGO"</formula>
    </cfRule>
  </conditionalFormatting>
  <conditionalFormatting sqref="AQ6:CA100">
    <cfRule type="expression" dxfId="1" priority="12">
      <formula>$AE6="scRNA Sequencing"</formula>
    </cfRule>
  </conditionalFormatting>
  <conditionalFormatting sqref="BL6:CA100">
    <cfRule type="expression" dxfId="0" priority="39">
      <formula>$AT6="WGS Bulk Tumour"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5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AE5:AE100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AW6:AW100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F1" workbookViewId="0">
      <selection activeCell="K13" sqref="K1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207</v>
      </c>
      <c r="R2" s="3" t="s">
        <v>241</v>
      </c>
      <c r="S2" s="3" t="s">
        <v>28</v>
      </c>
      <c r="T2" s="3" t="s">
        <v>29</v>
      </c>
      <c r="U2" s="3" t="s">
        <v>34</v>
      </c>
      <c r="V2" s="3" t="s">
        <v>260</v>
      </c>
      <c r="W2" s="3" t="s">
        <v>40</v>
      </c>
      <c r="X2" s="3" t="s">
        <v>232</v>
      </c>
      <c r="Y2" s="3" t="s">
        <v>281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289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209</v>
      </c>
      <c r="R3" s="1" t="s">
        <v>242</v>
      </c>
      <c r="S3" s="1" t="s">
        <v>205</v>
      </c>
      <c r="T3" s="1" t="s">
        <v>206</v>
      </c>
      <c r="U3" s="1" t="s">
        <v>168</v>
      </c>
      <c r="V3" s="1" t="s">
        <v>261</v>
      </c>
      <c r="W3" s="1" t="s">
        <v>203</v>
      </c>
      <c r="X3" s="1" t="s">
        <v>233</v>
      </c>
      <c r="Y3" s="1" t="s">
        <v>282</v>
      </c>
    </row>
    <row r="4" spans="1:26" x14ac:dyDescent="0.2">
      <c r="B4" s="1" t="s">
        <v>55</v>
      </c>
      <c r="C4" s="1" t="s">
        <v>235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290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208</v>
      </c>
      <c r="R4" s="1" t="s">
        <v>243</v>
      </c>
      <c r="S4" s="1" t="str">
        <f>" "</f>
        <v xml:space="preserve"> </v>
      </c>
      <c r="T4" s="1" t="s">
        <v>239</v>
      </c>
      <c r="U4" s="1" t="s">
        <v>167</v>
      </c>
      <c r="V4" s="1" t="s">
        <v>262</v>
      </c>
      <c r="W4" s="1" t="s">
        <v>204</v>
      </c>
      <c r="X4" s="1" t="s">
        <v>190</v>
      </c>
      <c r="Y4" s="1" t="s">
        <v>283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K5" s="1" t="s">
        <v>188</v>
      </c>
      <c r="L5" s="1" t="s">
        <v>190</v>
      </c>
      <c r="N5" s="1" t="s">
        <v>196</v>
      </c>
      <c r="O5" s="1" t="s">
        <v>200</v>
      </c>
      <c r="T5" s="1" t="s">
        <v>240</v>
      </c>
      <c r="W5" s="1" t="s">
        <v>210</v>
      </c>
      <c r="X5" s="1" t="s">
        <v>285</v>
      </c>
      <c r="Y5" s="1" t="s">
        <v>284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245</v>
      </c>
    </row>
    <row r="104" spans="2:2" x14ac:dyDescent="0.2">
      <c r="B104" s="1" t="s">
        <v>246</v>
      </c>
    </row>
    <row r="105" spans="2:2" x14ac:dyDescent="0.2">
      <c r="B105" s="1" t="s">
        <v>247</v>
      </c>
    </row>
    <row r="106" spans="2:2" x14ac:dyDescent="0.2">
      <c r="B106" s="1" t="s">
        <v>248</v>
      </c>
    </row>
    <row r="107" spans="2:2" x14ac:dyDescent="0.2">
      <c r="B107" s="1" t="s">
        <v>249</v>
      </c>
    </row>
    <row r="108" spans="2:2" x14ac:dyDescent="0.2">
      <c r="B108" s="1" t="s">
        <v>250</v>
      </c>
    </row>
    <row r="109" spans="2:2" x14ac:dyDescent="0.2">
      <c r="B109" s="1" t="s">
        <v>252</v>
      </c>
    </row>
    <row r="110" spans="2:2" x14ac:dyDescent="0.2">
      <c r="B110" s="1" t="s">
        <v>251</v>
      </c>
    </row>
    <row r="111" spans="2:2" x14ac:dyDescent="0.2">
      <c r="B111" s="1" t="s">
        <v>253</v>
      </c>
    </row>
    <row r="112" spans="2:2" x14ac:dyDescent="0.2">
      <c r="B112" s="1" t="s">
        <v>268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BT1" zoomScale="120" zoomScaleNormal="120" workbookViewId="0">
      <selection activeCell="AT19" sqref="AT19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0"/>
      <c r="B1" t="s">
        <v>286</v>
      </c>
    </row>
    <row r="2" spans="1:79" x14ac:dyDescent="0.2">
      <c r="A2" s="42"/>
      <c r="B2" t="s">
        <v>287</v>
      </c>
    </row>
    <row r="3" spans="1:79" x14ac:dyDescent="0.2">
      <c r="A3" s="45" t="str">
        <f ca="1">IF($D3="", "", INDIRECT("$D6"))</f>
        <v/>
      </c>
      <c r="B3" t="s">
        <v>288</v>
      </c>
    </row>
    <row r="4" spans="1:79" x14ac:dyDescent="0.2">
      <c r="A4" s="52" t="s">
        <v>41</v>
      </c>
      <c r="B4" s="52"/>
      <c r="C4" s="52"/>
      <c r="D4" s="52"/>
      <c r="E4" s="52"/>
      <c r="F4" s="52" t="s">
        <v>42</v>
      </c>
      <c r="G4" s="52"/>
      <c r="H4" s="52"/>
      <c r="I4" s="52"/>
      <c r="J4" s="52"/>
      <c r="K4" s="52"/>
      <c r="L4" s="36" t="s">
        <v>43</v>
      </c>
      <c r="M4" s="52" t="s">
        <v>44</v>
      </c>
      <c r="N4" s="52"/>
      <c r="O4" s="36"/>
      <c r="P4" s="52" t="s">
        <v>45</v>
      </c>
      <c r="Q4" s="52"/>
      <c r="R4" s="52"/>
      <c r="S4" s="52"/>
      <c r="T4" s="52"/>
      <c r="U4" s="52" t="s">
        <v>46</v>
      </c>
      <c r="V4" s="52"/>
      <c r="W4" s="52"/>
      <c r="X4" s="52"/>
      <c r="Y4" s="52"/>
      <c r="Z4" s="36" t="s">
        <v>47</v>
      </c>
      <c r="AA4" s="52" t="s">
        <v>48</v>
      </c>
      <c r="AB4" s="52"/>
      <c r="AC4" s="52"/>
      <c r="AD4" s="52" t="s">
        <v>263</v>
      </c>
      <c r="AE4" s="52"/>
      <c r="AF4" s="52" t="s">
        <v>264</v>
      </c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 t="s">
        <v>49</v>
      </c>
      <c r="AR4" s="52"/>
      <c r="AS4" s="52"/>
      <c r="AT4" s="52"/>
      <c r="AU4" s="52" t="s">
        <v>50</v>
      </c>
      <c r="AV4" s="52"/>
      <c r="AW4" s="36"/>
      <c r="AX4" s="36" t="s">
        <v>265</v>
      </c>
      <c r="AY4" s="52" t="s">
        <v>51</v>
      </c>
      <c r="AZ4" s="52"/>
      <c r="BA4" s="52" t="s">
        <v>52</v>
      </c>
      <c r="BB4" s="52"/>
      <c r="BC4" s="52" t="s">
        <v>214</v>
      </c>
      <c r="BD4" s="52"/>
      <c r="BE4" s="52"/>
      <c r="BF4" s="52"/>
      <c r="BG4" s="52"/>
      <c r="BH4" s="52"/>
      <c r="BI4" s="52"/>
      <c r="BJ4" s="52"/>
      <c r="BK4" s="52"/>
      <c r="BL4" s="52" t="s">
        <v>53</v>
      </c>
      <c r="BM4" s="52"/>
      <c r="BN4" s="52"/>
      <c r="BO4" s="36" t="s">
        <v>266</v>
      </c>
      <c r="BP4" s="52" t="s">
        <v>269</v>
      </c>
      <c r="BQ4" s="52"/>
      <c r="BR4" s="52" t="s">
        <v>274</v>
      </c>
      <c r="BS4" s="52"/>
      <c r="BT4" s="52"/>
      <c r="BU4" s="52"/>
      <c r="BV4" s="52"/>
      <c r="BW4" s="52"/>
      <c r="BX4" s="52" t="s">
        <v>279</v>
      </c>
      <c r="BY4" s="52"/>
      <c r="BZ4" s="52"/>
      <c r="CA4" s="52"/>
    </row>
    <row r="5" spans="1:79" x14ac:dyDescent="0.2">
      <c r="A5" s="37" t="s">
        <v>1</v>
      </c>
      <c r="B5" s="37" t="s">
        <v>212</v>
      </c>
      <c r="C5" s="37" t="s">
        <v>213</v>
      </c>
      <c r="D5" s="38" t="s">
        <v>0</v>
      </c>
      <c r="E5" s="38" t="s">
        <v>234</v>
      </c>
      <c r="F5" s="37" t="s">
        <v>2</v>
      </c>
      <c r="G5" s="38" t="s">
        <v>3</v>
      </c>
      <c r="H5" s="38" t="s">
        <v>267</v>
      </c>
      <c r="I5" s="38" t="s">
        <v>4</v>
      </c>
      <c r="J5" s="37" t="s">
        <v>5</v>
      </c>
      <c r="K5" s="38" t="s">
        <v>211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230</v>
      </c>
      <c r="AG5" s="37" t="s">
        <v>229</v>
      </c>
      <c r="AH5" s="37" t="s">
        <v>244</v>
      </c>
      <c r="AI5" s="37" t="s">
        <v>27</v>
      </c>
      <c r="AJ5" s="37" t="s">
        <v>228</v>
      </c>
      <c r="AK5" s="37" t="s">
        <v>227</v>
      </c>
      <c r="AL5" s="37" t="s">
        <v>226</v>
      </c>
      <c r="AM5" s="37" t="s">
        <v>225</v>
      </c>
      <c r="AN5" s="37" t="s">
        <v>224</v>
      </c>
      <c r="AO5" s="37" t="s">
        <v>223</v>
      </c>
      <c r="AP5" s="37" t="s">
        <v>29</v>
      </c>
      <c r="AQ5" s="37" t="s">
        <v>30</v>
      </c>
      <c r="AR5" s="37" t="s">
        <v>31</v>
      </c>
      <c r="AS5" s="37" t="s">
        <v>32</v>
      </c>
      <c r="AT5" s="37" t="s">
        <v>232</v>
      </c>
      <c r="AU5" s="37" t="s">
        <v>33</v>
      </c>
      <c r="AV5" s="37" t="s">
        <v>34</v>
      </c>
      <c r="AW5" s="37" t="s">
        <v>260</v>
      </c>
      <c r="AX5" s="37" t="s">
        <v>259</v>
      </c>
      <c r="AY5" s="37" t="s">
        <v>35</v>
      </c>
      <c r="AZ5" s="37" t="s">
        <v>36</v>
      </c>
      <c r="BA5" s="37" t="s">
        <v>37</v>
      </c>
      <c r="BB5" s="37" t="s">
        <v>38</v>
      </c>
      <c r="BC5" s="37" t="s">
        <v>215</v>
      </c>
      <c r="BD5" s="37" t="s">
        <v>222</v>
      </c>
      <c r="BE5" s="37" t="s">
        <v>221</v>
      </c>
      <c r="BF5" s="37" t="s">
        <v>220</v>
      </c>
      <c r="BG5" s="37" t="s">
        <v>219</v>
      </c>
      <c r="BH5" s="37" t="s">
        <v>280</v>
      </c>
      <c r="BI5" s="37" t="s">
        <v>218</v>
      </c>
      <c r="BJ5" s="37" t="s">
        <v>217</v>
      </c>
      <c r="BK5" s="37" t="s">
        <v>216</v>
      </c>
      <c r="BL5" s="37" t="s">
        <v>231</v>
      </c>
      <c r="BM5" s="37" t="s">
        <v>39</v>
      </c>
      <c r="BN5" s="37" t="s">
        <v>40</v>
      </c>
      <c r="BO5" s="37" t="s">
        <v>258</v>
      </c>
      <c r="BP5" s="37" t="s">
        <v>254</v>
      </c>
      <c r="BQ5" s="37" t="s">
        <v>255</v>
      </c>
      <c r="BR5" s="37" t="s">
        <v>256</v>
      </c>
      <c r="BS5" s="37" t="s">
        <v>257</v>
      </c>
      <c r="BT5" s="37" t="s">
        <v>270</v>
      </c>
      <c r="BU5" s="37" t="s">
        <v>271</v>
      </c>
      <c r="BV5" s="37" t="s">
        <v>272</v>
      </c>
      <c r="BW5" s="37" t="s">
        <v>273</v>
      </c>
      <c r="BX5" s="37" t="s">
        <v>275</v>
      </c>
      <c r="BY5" s="37" t="s">
        <v>276</v>
      </c>
      <c r="BZ5" s="37" t="s">
        <v>277</v>
      </c>
      <c r="CA5" s="37" t="s">
        <v>278</v>
      </c>
    </row>
    <row r="6" spans="1:79" x14ac:dyDescent="0.2">
      <c r="A6" s="45" t="str">
        <f ca="1">IF($D6="", "", INDIRECT("$D6"))</f>
        <v/>
      </c>
      <c r="B6" s="45"/>
      <c r="C6" s="45"/>
      <c r="D6" s="46"/>
      <c r="E6" s="47"/>
      <c r="F6" s="46" t="str">
        <f t="shared" ref="F6:F23" si="0">IF(OR($G6="Primary Debulking", $G6="Laparoscopic Biopsy"), "0", IF($G6="Interval Debulking", "1", ""))</f>
        <v/>
      </c>
      <c r="G6" s="46"/>
      <c r="H6" s="48"/>
      <c r="I6" s="46"/>
      <c r="J6" s="46"/>
      <c r="K6" s="46"/>
      <c r="L6" s="46"/>
      <c r="M6" s="8" t="s">
        <v>176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t="shared" ref="AG6:AG23" ca="1" si="1">IF($AF6="", "", "IGO")</f>
        <v/>
      </c>
      <c r="AH6" s="10"/>
      <c r="AI6" s="10" t="str">
        <f t="shared" ref="AI6:AI23" ca="1" si="2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 t="shared" ref="BD6:BD23" si="3"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5" t="str">
        <f ca="1">IF($D7="", "", INDIRECT("$D7"))</f>
        <v/>
      </c>
      <c r="B7" s="45"/>
      <c r="C7" s="45"/>
      <c r="D7" s="46"/>
      <c r="E7" s="47"/>
      <c r="F7" s="46" t="str">
        <f t="shared" si="0"/>
        <v/>
      </c>
      <c r="G7" s="46"/>
      <c r="H7" s="48"/>
      <c r="I7" s="46"/>
      <c r="J7" s="46" t="str">
        <f t="shared" ref="J7:J23" si="4">IF($D7="", "", "Main")</f>
        <v/>
      </c>
      <c r="K7" s="46"/>
      <c r="L7" s="8" t="s">
        <v>167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t="shared" ca="1" si="1"/>
        <v/>
      </c>
      <c r="AH7" s="10"/>
      <c r="AI7" s="10" t="str">
        <f t="shared" ca="1" si="2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35"/>
      <c r="AY7" s="10"/>
      <c r="AZ7" s="10"/>
      <c r="BA7" s="10"/>
      <c r="BB7" s="10"/>
      <c r="BC7" s="16"/>
      <c r="BD7" s="10" t="str">
        <f t="shared" si="3"/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5" t="str">
        <f ca="1">IF($D8="", "", INDIRECT("$D8"))</f>
        <v/>
      </c>
      <c r="B8" s="45"/>
      <c r="C8" s="45"/>
      <c r="D8" s="46"/>
      <c r="E8" s="47"/>
      <c r="F8" s="46" t="str">
        <f t="shared" si="0"/>
        <v/>
      </c>
      <c r="G8" s="46"/>
      <c r="H8" s="48"/>
      <c r="I8" s="46"/>
      <c r="J8" s="46" t="str">
        <f t="shared" si="4"/>
        <v/>
      </c>
      <c r="K8" s="46"/>
      <c r="L8" s="46"/>
      <c r="M8" s="46"/>
      <c r="N8" s="46"/>
      <c r="O8" s="48"/>
      <c r="P8" s="48" t="str">
        <f ca="1">IF($H8="", "", INDIRECT("$H8"))</f>
        <v/>
      </c>
      <c r="Q8" s="46"/>
      <c r="R8" s="46"/>
      <c r="S8" s="46"/>
      <c r="T8" s="8" t="s">
        <v>188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t="shared" ca="1" si="1"/>
        <v/>
      </c>
      <c r="AH8" s="10"/>
      <c r="AI8" s="10" t="str">
        <f t="shared" ca="1" si="2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5" t="str">
        <f ca="1">IF($D9="", "", INDIRECT("$D9"))</f>
        <v/>
      </c>
      <c r="B9" s="45"/>
      <c r="C9" s="45"/>
      <c r="D9" s="46"/>
      <c r="E9" s="47"/>
      <c r="F9" s="46" t="str">
        <f t="shared" si="0"/>
        <v/>
      </c>
      <c r="G9" s="46"/>
      <c r="H9" s="48"/>
      <c r="I9" s="46"/>
      <c r="J9" s="46" t="str">
        <f t="shared" si="4"/>
        <v/>
      </c>
      <c r="K9" s="46"/>
      <c r="L9" s="46"/>
      <c r="M9" s="46"/>
      <c r="N9" s="46"/>
      <c r="O9" s="48"/>
      <c r="P9" s="48" t="str">
        <f ca="1">IF($H9="", "", INDIRECT("$H9"))</f>
        <v/>
      </c>
      <c r="Q9" s="46"/>
      <c r="R9" s="46"/>
      <c r="S9" s="46"/>
      <c r="T9" s="46"/>
      <c r="U9" s="49"/>
      <c r="V9" s="49"/>
      <c r="W9" s="46"/>
      <c r="X9" s="46"/>
      <c r="Y9" s="8" t="s">
        <v>189</v>
      </c>
      <c r="Z9" s="39"/>
      <c r="AA9" s="44"/>
      <c r="AB9" s="44"/>
      <c r="AC9" s="44"/>
      <c r="AD9" s="10"/>
      <c r="AE9" s="10"/>
      <c r="AF9" s="16" t="str">
        <f ca="1">IF($H9="", "", INDIRECT("$H9"))</f>
        <v/>
      </c>
      <c r="AG9" s="10" t="str">
        <f t="shared" ca="1" si="1"/>
        <v/>
      </c>
      <c r="AH9" s="10"/>
      <c r="AI9" s="10" t="str">
        <f t="shared" ca="1" si="2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5" t="str">
        <f ca="1">IF($D10="", "", INDIRECT("$D10"))</f>
        <v/>
      </c>
      <c r="B10" s="45"/>
      <c r="C10" s="45"/>
      <c r="D10" s="46"/>
      <c r="E10" s="47"/>
      <c r="F10" s="46" t="str">
        <f t="shared" si="0"/>
        <v/>
      </c>
      <c r="G10" s="46"/>
      <c r="H10" s="48"/>
      <c r="I10" s="46"/>
      <c r="J10" s="46" t="str">
        <f t="shared" si="4"/>
        <v/>
      </c>
      <c r="K10" s="46"/>
      <c r="L10" s="46"/>
      <c r="M10" s="46"/>
      <c r="N10" s="46"/>
      <c r="O10" s="48"/>
      <c r="P10" s="48" t="str">
        <f ca="1">IF($H10="", "", INDIRECT("$H10"))</f>
        <v/>
      </c>
      <c r="Q10" s="46"/>
      <c r="R10" s="46"/>
      <c r="S10" s="46"/>
      <c r="T10" s="46"/>
      <c r="U10" s="49"/>
      <c r="V10" s="49"/>
      <c r="W10" s="46"/>
      <c r="X10" s="46"/>
      <c r="Y10" s="46"/>
      <c r="Z10" s="8" t="s">
        <v>193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t="shared" ca="1" si="1"/>
        <v/>
      </c>
      <c r="AH10" s="10"/>
      <c r="AI10" s="10" t="str">
        <f t="shared" ca="1" si="2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5" t="str">
        <f ca="1">IF($D11="", "", INDIRECT("$D11"))</f>
        <v/>
      </c>
      <c r="B11" s="45"/>
      <c r="C11" s="45"/>
      <c r="D11" s="46"/>
      <c r="E11" s="47"/>
      <c r="F11" s="46" t="str">
        <f t="shared" si="0"/>
        <v/>
      </c>
      <c r="G11" s="46"/>
      <c r="H11" s="48"/>
      <c r="I11" s="46"/>
      <c r="J11" s="46" t="str">
        <f t="shared" si="4"/>
        <v/>
      </c>
      <c r="K11" s="46"/>
      <c r="L11" s="46"/>
      <c r="M11" s="46"/>
      <c r="N11" s="46"/>
      <c r="O11" s="48"/>
      <c r="P11" s="48" t="str">
        <f ca="1">IF($H11="", "", INDIRECT("$H11"))</f>
        <v/>
      </c>
      <c r="Q11" s="46"/>
      <c r="R11" s="46"/>
      <c r="S11" s="46"/>
      <c r="T11" s="46"/>
      <c r="U11" s="49"/>
      <c r="V11" s="49"/>
      <c r="W11" s="46"/>
      <c r="X11" s="46"/>
      <c r="Y11" s="8" t="s">
        <v>189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t="shared" ca="1" si="1"/>
        <v/>
      </c>
      <c r="AH11" s="10"/>
      <c r="AI11" s="10" t="str">
        <f t="shared" ca="1" si="2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5" t="str">
        <f ca="1">IF($D12="", "", INDIRECT("$D12"))</f>
        <v/>
      </c>
      <c r="B12" s="45"/>
      <c r="C12" s="45"/>
      <c r="D12" s="46"/>
      <c r="E12" s="47"/>
      <c r="F12" s="46" t="str">
        <f t="shared" si="0"/>
        <v/>
      </c>
      <c r="G12" s="46"/>
      <c r="H12" s="48"/>
      <c r="I12" s="46"/>
      <c r="J12" s="46" t="str">
        <f t="shared" si="4"/>
        <v/>
      </c>
      <c r="K12" s="46"/>
      <c r="L12" s="46"/>
      <c r="M12" s="46"/>
      <c r="N12" s="46"/>
      <c r="O12" s="48"/>
      <c r="P12" s="48" t="str">
        <f ca="1">IF($H12="", "", INDIRECT("$H12"))</f>
        <v/>
      </c>
      <c r="Q12" s="48"/>
      <c r="R12" s="46"/>
      <c r="S12" s="46"/>
      <c r="T12" s="46"/>
      <c r="U12" s="49"/>
      <c r="V12" s="49"/>
      <c r="W12" s="46"/>
      <c r="X12" s="46"/>
      <c r="Y12" s="8" t="s">
        <v>191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t="shared" ca="1" si="1"/>
        <v/>
      </c>
      <c r="AH12" s="10"/>
      <c r="AI12" s="10" t="str">
        <f t="shared" ca="1" si="2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5" t="str">
        <f ca="1">IF($D13="", "", INDIRECT("$D13"))</f>
        <v/>
      </c>
      <c r="B13" s="45"/>
      <c r="C13" s="45"/>
      <c r="D13" s="46"/>
      <c r="E13" s="47"/>
      <c r="F13" s="46" t="str">
        <f t="shared" si="0"/>
        <v/>
      </c>
      <c r="G13" s="46"/>
      <c r="H13" s="48"/>
      <c r="I13" s="46"/>
      <c r="J13" s="46" t="str">
        <f t="shared" si="4"/>
        <v/>
      </c>
      <c r="K13" s="46"/>
      <c r="L13" s="46"/>
      <c r="M13" s="46"/>
      <c r="N13" s="46"/>
      <c r="O13" s="48"/>
      <c r="P13" s="48" t="str">
        <f ca="1">IF($H13="", "", INDIRECT("$H13"))</f>
        <v/>
      </c>
      <c r="Q13" s="48"/>
      <c r="R13" s="46"/>
      <c r="S13" s="46"/>
      <c r="T13" s="46"/>
      <c r="U13" s="49"/>
      <c r="V13" s="49"/>
      <c r="W13" s="46"/>
      <c r="X13" s="46"/>
      <c r="Y13" s="46"/>
      <c r="Z13" s="46"/>
      <c r="AA13" s="46"/>
      <c r="AB13" s="46"/>
      <c r="AC13" s="46"/>
      <c r="AD13" s="46"/>
      <c r="AE13" s="8" t="s">
        <v>201</v>
      </c>
      <c r="AF13" s="40" t="str">
        <f ca="1">IF($H13="", "", INDIRECT("$H13"))</f>
        <v/>
      </c>
      <c r="AG13" s="39" t="str">
        <f t="shared" ca="1" si="1"/>
        <v/>
      </c>
      <c r="AH13" s="39"/>
      <c r="AI13" s="39" t="str">
        <f t="shared" ca="1" si="2"/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2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5" t="str">
        <f ca="1">IF($D14="", "", INDIRECT("$D14"))</f>
        <v/>
      </c>
      <c r="B14" s="45"/>
      <c r="C14" s="45"/>
      <c r="D14" s="46"/>
      <c r="E14" s="47"/>
      <c r="F14" s="46" t="str">
        <f t="shared" si="0"/>
        <v/>
      </c>
      <c r="G14" s="46"/>
      <c r="H14" s="48"/>
      <c r="I14" s="46"/>
      <c r="J14" s="46" t="str">
        <f t="shared" si="4"/>
        <v/>
      </c>
      <c r="K14" s="46"/>
      <c r="L14" s="46"/>
      <c r="M14" s="46"/>
      <c r="N14" s="46"/>
      <c r="O14" s="46"/>
      <c r="P14" s="48" t="str">
        <f ca="1">IF($H14="", "", INDIRECT("$H14"))</f>
        <v/>
      </c>
      <c r="Q14" s="48"/>
      <c r="R14" s="46"/>
      <c r="S14" s="46"/>
      <c r="T14" s="8" t="s">
        <v>186</v>
      </c>
      <c r="U14" s="43"/>
      <c r="V14" s="43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t="shared" ca="1" si="1"/>
        <v/>
      </c>
      <c r="AH14" s="8"/>
      <c r="AI14" s="8" t="str">
        <f t="shared" ca="1" si="2"/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5"/>
      <c r="BP14" s="12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5" t="str">
        <f ca="1">IF($D15="", "", INDIRECT("$D15"))</f>
        <v/>
      </c>
      <c r="B15" s="45"/>
      <c r="C15" s="45"/>
      <c r="D15" s="46"/>
      <c r="E15" s="47"/>
      <c r="F15" s="46" t="str">
        <f t="shared" si="0"/>
        <v/>
      </c>
      <c r="G15" s="46"/>
      <c r="H15" s="48"/>
      <c r="I15" s="46"/>
      <c r="J15" s="46" t="str">
        <f t="shared" si="4"/>
        <v/>
      </c>
      <c r="K15" s="46"/>
      <c r="L15" s="46"/>
      <c r="M15" s="46"/>
      <c r="N15" s="46"/>
      <c r="O15" s="46"/>
      <c r="P15" s="48" t="str">
        <f ca="1">IF($H15="", "", INDIRECT("$H15"))</f>
        <v/>
      </c>
      <c r="Q15" s="48"/>
      <c r="R15" s="46"/>
      <c r="S15" s="46"/>
      <c r="T15" s="8" t="s">
        <v>187</v>
      </c>
      <c r="U15" s="43"/>
      <c r="V15" s="43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t="shared" ca="1" si="1"/>
        <v/>
      </c>
      <c r="AH15" s="8"/>
      <c r="AI15" s="8" t="str">
        <f t="shared" ca="1" si="2"/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5"/>
      <c r="BP15" s="12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5" t="str">
        <f ca="1">IF($D16="", "", INDIRECT("$D16"))</f>
        <v/>
      </c>
      <c r="B16" s="45"/>
      <c r="C16" s="45"/>
      <c r="D16" s="46"/>
      <c r="E16" s="47"/>
      <c r="F16" s="46" t="str">
        <f t="shared" si="0"/>
        <v/>
      </c>
      <c r="G16" s="46"/>
      <c r="H16" s="48"/>
      <c r="I16" s="46"/>
      <c r="J16" s="46" t="str">
        <f t="shared" si="4"/>
        <v/>
      </c>
      <c r="K16" s="46"/>
      <c r="L16" s="46"/>
      <c r="M16" s="46"/>
      <c r="N16" s="46"/>
      <c r="O16" s="46"/>
      <c r="P16" s="48" t="str">
        <f ca="1">IF($H16="", "", INDIRECT("$H16"))</f>
        <v/>
      </c>
      <c r="Q16" s="48"/>
      <c r="R16" s="46"/>
      <c r="S16" s="46"/>
      <c r="T16" s="46"/>
      <c r="U16" s="49"/>
      <c r="V16" s="49"/>
      <c r="W16" s="46"/>
      <c r="X16" s="46"/>
      <c r="Y16" s="46"/>
      <c r="Z16" s="46"/>
      <c r="AA16" s="46"/>
      <c r="AB16" s="46"/>
      <c r="AC16" s="46"/>
      <c r="AD16" s="46"/>
      <c r="AE16" s="46"/>
      <c r="AF16" s="48" t="str">
        <f ca="1">IF($H16="", "", INDIRECT("$H16"))</f>
        <v/>
      </c>
      <c r="AG16" s="46" t="str">
        <f t="shared" ca="1" si="1"/>
        <v/>
      </c>
      <c r="AH16" s="46"/>
      <c r="AI16" s="46" t="str">
        <f t="shared" ca="1" si="2"/>
        <v/>
      </c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8" t="s">
        <v>285</v>
      </c>
      <c r="AU16" s="40"/>
      <c r="AV16" s="39"/>
      <c r="AW16" s="39"/>
      <c r="AX16" s="10"/>
      <c r="AY16" s="10"/>
      <c r="AZ16" s="10"/>
      <c r="BA16" s="10"/>
      <c r="BB16" s="10"/>
      <c r="BC16" s="16"/>
      <c r="BD16" s="10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5" t="str">
        <f ca="1">IF($D17="", "", INDIRECT("$D17"))</f>
        <v/>
      </c>
      <c r="B17" s="45"/>
      <c r="C17" s="45"/>
      <c r="D17" s="46"/>
      <c r="E17" s="47"/>
      <c r="F17" s="46" t="str">
        <f t="shared" si="0"/>
        <v/>
      </c>
      <c r="G17" s="46"/>
      <c r="H17" s="48"/>
      <c r="I17" s="46"/>
      <c r="J17" s="46" t="str">
        <f t="shared" si="4"/>
        <v/>
      </c>
      <c r="K17" s="46"/>
      <c r="L17" s="46"/>
      <c r="M17" s="46"/>
      <c r="N17" s="46"/>
      <c r="O17" s="46"/>
      <c r="P17" s="48" t="str">
        <f ca="1">IF($H17="", "", INDIRECT("$H17"))</f>
        <v/>
      </c>
      <c r="Q17" s="48"/>
      <c r="R17" s="46"/>
      <c r="S17" s="46"/>
      <c r="T17" s="46"/>
      <c r="U17" s="49"/>
      <c r="V17" s="49"/>
      <c r="W17" s="46"/>
      <c r="X17" s="46"/>
      <c r="Y17" s="46"/>
      <c r="Z17" s="46"/>
      <c r="AA17" s="46"/>
      <c r="AB17" s="46"/>
      <c r="AC17" s="46"/>
      <c r="AD17" s="46"/>
      <c r="AE17" s="46"/>
      <c r="AF17" s="48" t="str">
        <f ca="1">IF($H17="", "", INDIRECT("$H17"))</f>
        <v/>
      </c>
      <c r="AG17" s="46" t="str">
        <f t="shared" ca="1" si="1"/>
        <v/>
      </c>
      <c r="AH17" s="46"/>
      <c r="AI17" s="46" t="str">
        <f t="shared" ca="1" si="2"/>
        <v/>
      </c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8"/>
      <c r="AV17" s="46"/>
      <c r="AW17" s="8" t="s">
        <v>261</v>
      </c>
      <c r="AX17" s="39"/>
      <c r="AY17" s="8"/>
      <c r="AZ17" s="8"/>
      <c r="BA17" s="39"/>
      <c r="BB17" s="39"/>
      <c r="BC17" s="40"/>
      <c r="BD17" s="39" t="str">
        <f t="shared" si="3"/>
        <v/>
      </c>
      <c r="BE17" s="39"/>
      <c r="BF17" s="39"/>
      <c r="BG17" s="39"/>
      <c r="BH17" s="39"/>
      <c r="BI17" s="39"/>
      <c r="BJ17" s="39"/>
      <c r="BK17" s="39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5" t="str">
        <f ca="1">IF($D18="", "", INDIRECT("$D18"))</f>
        <v/>
      </c>
      <c r="B18" s="45"/>
      <c r="C18" s="45"/>
      <c r="D18" s="46"/>
      <c r="E18" s="47"/>
      <c r="F18" s="46" t="str">
        <f t="shared" si="0"/>
        <v/>
      </c>
      <c r="G18" s="46"/>
      <c r="H18" s="48"/>
      <c r="I18" s="46"/>
      <c r="J18" s="46" t="str">
        <f t="shared" si="4"/>
        <v/>
      </c>
      <c r="K18" s="46"/>
      <c r="L18" s="46"/>
      <c r="M18" s="46"/>
      <c r="N18" s="46"/>
      <c r="O18" s="46"/>
      <c r="P18" s="48" t="str">
        <f ca="1">IF($H18="", "", INDIRECT("$H18"))</f>
        <v/>
      </c>
      <c r="Q18" s="48"/>
      <c r="R18" s="46"/>
      <c r="S18" s="46"/>
      <c r="T18" s="46"/>
      <c r="U18" s="49"/>
      <c r="V18" s="49"/>
      <c r="W18" s="46"/>
      <c r="X18" s="46"/>
      <c r="Y18" s="46"/>
      <c r="Z18" s="46"/>
      <c r="AA18" s="46"/>
      <c r="AB18" s="46"/>
      <c r="AC18" s="46"/>
      <c r="AD18" s="46"/>
      <c r="AE18" s="46"/>
      <c r="AF18" s="48" t="str">
        <f ca="1">IF($H18="", "", INDIRECT("$H18"))</f>
        <v/>
      </c>
      <c r="AG18" s="46" t="str">
        <f t="shared" ca="1" si="1"/>
        <v/>
      </c>
      <c r="AH18" s="46"/>
      <c r="AI18" s="46" t="str">
        <f t="shared" ca="1" si="2"/>
        <v/>
      </c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8"/>
      <c r="AV18" s="46"/>
      <c r="AW18" s="8" t="s">
        <v>262</v>
      </c>
      <c r="AX18" s="8"/>
      <c r="AY18" s="39"/>
      <c r="AZ18" s="39"/>
      <c r="BA18" s="39"/>
      <c r="BB18" s="39"/>
      <c r="BC18" s="40"/>
      <c r="BD18" s="39" t="str">
        <f t="shared" si="3"/>
        <v/>
      </c>
      <c r="BE18" s="39"/>
      <c r="BF18" s="39"/>
      <c r="BG18" s="39"/>
      <c r="BH18" s="39"/>
      <c r="BI18" s="39"/>
      <c r="BJ18" s="39"/>
      <c r="BK18" s="39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5" t="str">
        <f ca="1">IF($D19="", "", INDIRECT("$D23"))</f>
        <v/>
      </c>
      <c r="B19" s="45"/>
      <c r="C19" s="45"/>
      <c r="D19" s="46"/>
      <c r="E19" s="47"/>
      <c r="F19" s="46" t="str">
        <f t="shared" si="0"/>
        <v/>
      </c>
      <c r="G19" s="46"/>
      <c r="H19" s="48"/>
      <c r="I19" s="46"/>
      <c r="J19" s="46" t="str">
        <f t="shared" si="4"/>
        <v/>
      </c>
      <c r="K19" s="46"/>
      <c r="L19" s="46"/>
      <c r="M19" s="46"/>
      <c r="N19" s="46"/>
      <c r="O19" s="46"/>
      <c r="P19" s="48" t="str">
        <f ca="1">IF($H19="", "", INDIRECT("$H23"))</f>
        <v/>
      </c>
      <c r="Q19" s="48"/>
      <c r="R19" s="46"/>
      <c r="S19" s="46"/>
      <c r="T19" s="46"/>
      <c r="U19" s="49"/>
      <c r="V19" s="49"/>
      <c r="W19" s="46"/>
      <c r="X19" s="46"/>
      <c r="Y19" s="46"/>
      <c r="Z19" s="46"/>
      <c r="AA19" s="46"/>
      <c r="AB19" s="46"/>
      <c r="AC19" s="46"/>
      <c r="AD19" s="46"/>
      <c r="AE19" s="46"/>
      <c r="AF19" s="48" t="str">
        <f ca="1">IF($H19="", "", INDIRECT("$H23"))</f>
        <v/>
      </c>
      <c r="AG19" s="46" t="str">
        <f t="shared" ca="1" si="1"/>
        <v/>
      </c>
      <c r="AH19" s="46"/>
      <c r="AI19" s="46" t="str">
        <f t="shared" ca="1" si="2"/>
        <v/>
      </c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8" t="s">
        <v>233</v>
      </c>
      <c r="AU19" s="17"/>
      <c r="AV19" s="8"/>
      <c r="AW19" s="8"/>
      <c r="AX19" s="8"/>
      <c r="AY19" s="8"/>
      <c r="AZ19" s="8"/>
      <c r="BA19" s="8"/>
      <c r="BB19" s="8"/>
      <c r="BC19" s="17"/>
      <c r="BD19" s="8" t="str">
        <f t="shared" si="3"/>
        <v/>
      </c>
      <c r="BE19" s="8"/>
      <c r="BF19" s="8"/>
      <c r="BG19" s="8"/>
      <c r="BH19" s="8"/>
      <c r="BI19" s="8"/>
      <c r="BJ19" s="8"/>
      <c r="BK19" s="8"/>
      <c r="BL19" s="40"/>
      <c r="BM19" s="39"/>
      <c r="BN19" s="39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5" t="str">
        <f ca="1">IF($D20="", "", INDIRECT("$D24"))</f>
        <v/>
      </c>
      <c r="B20" s="45"/>
      <c r="C20" s="45"/>
      <c r="D20" s="46"/>
      <c r="E20" s="47"/>
      <c r="F20" s="46" t="str">
        <f t="shared" si="0"/>
        <v/>
      </c>
      <c r="G20" s="46"/>
      <c r="H20" s="48"/>
      <c r="I20" s="46"/>
      <c r="J20" s="46" t="str">
        <f t="shared" si="4"/>
        <v/>
      </c>
      <c r="K20" s="46"/>
      <c r="L20" s="46"/>
      <c r="M20" s="46"/>
      <c r="N20" s="46"/>
      <c r="O20" s="46"/>
      <c r="P20" s="48" t="str">
        <f ca="1">IF($H20="", "", INDIRECT("$H24"))</f>
        <v/>
      </c>
      <c r="Q20" s="48"/>
      <c r="R20" s="46"/>
      <c r="S20" s="46"/>
      <c r="T20" s="46"/>
      <c r="U20" s="49"/>
      <c r="V20" s="49"/>
      <c r="W20" s="46"/>
      <c r="X20" s="46"/>
      <c r="Y20" s="8" t="s">
        <v>190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t="shared" ca="1" si="1"/>
        <v/>
      </c>
      <c r="AH20" s="8"/>
      <c r="AI20" s="8" t="str">
        <f t="shared" ca="1" si="2"/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17"/>
      <c r="AV20" s="8"/>
      <c r="AW20" s="8"/>
      <c r="AX20" s="8"/>
      <c r="AY20" s="8"/>
      <c r="AZ20" s="8"/>
      <c r="BA20" s="8"/>
      <c r="BB20" s="8"/>
      <c r="BC20" s="17"/>
      <c r="BD20" s="8" t="str">
        <f t="shared" si="3"/>
        <v/>
      </c>
      <c r="BE20" s="8"/>
      <c r="BF20" s="8"/>
      <c r="BG20" s="8"/>
      <c r="BH20" s="8"/>
      <c r="BI20" s="8"/>
      <c r="BJ20" s="8"/>
      <c r="BK20" s="8"/>
      <c r="BL20" s="17"/>
      <c r="BM20" s="8"/>
      <c r="BN20" s="8"/>
      <c r="BO20" s="39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5" t="str">
        <f ca="1">IF($D21="", "", INDIRECT("$D25"))</f>
        <v/>
      </c>
      <c r="B21" s="45"/>
      <c r="C21" s="45"/>
      <c r="D21" s="46"/>
      <c r="E21" s="47"/>
      <c r="F21" s="46" t="str">
        <f t="shared" si="0"/>
        <v/>
      </c>
      <c r="G21" s="46"/>
      <c r="H21" s="48"/>
      <c r="I21" s="46"/>
      <c r="J21" s="46" t="str">
        <f t="shared" si="4"/>
        <v/>
      </c>
      <c r="K21" s="46"/>
      <c r="L21" s="46"/>
      <c r="M21" s="46"/>
      <c r="N21" s="46"/>
      <c r="O21" s="46"/>
      <c r="P21" s="48" t="str">
        <f ca="1">IF($H21="", "", INDIRECT("$H25"))</f>
        <v/>
      </c>
      <c r="Q21" s="48"/>
      <c r="R21" s="46"/>
      <c r="S21" s="46"/>
      <c r="T21" s="46"/>
      <c r="U21" s="49"/>
      <c r="V21" s="49"/>
      <c r="W21" s="46"/>
      <c r="X21" s="46"/>
      <c r="Y21" s="46"/>
      <c r="Z21" s="46"/>
      <c r="AA21" s="46"/>
      <c r="AB21" s="46"/>
      <c r="AC21" s="46"/>
      <c r="AD21" s="46"/>
      <c r="AE21" s="8" t="s">
        <v>202</v>
      </c>
      <c r="AF21" s="17" t="str">
        <f ca="1">IF($H21="", "", INDIRECT("$H25"))</f>
        <v/>
      </c>
      <c r="AG21" s="8" t="str">
        <f t="shared" ca="1" si="1"/>
        <v/>
      </c>
      <c r="AH21" s="8"/>
      <c r="AI21" s="8" t="str">
        <f t="shared" ca="1" si="2"/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7"/>
      <c r="AV21" s="8"/>
      <c r="AW21" s="8"/>
      <c r="AX21" s="8"/>
      <c r="AY21" s="8"/>
      <c r="AZ21" s="8"/>
      <c r="BA21" s="8"/>
      <c r="BB21" s="8"/>
      <c r="BC21" s="17"/>
      <c r="BD21" s="8" t="str">
        <f t="shared" si="3"/>
        <v/>
      </c>
      <c r="BE21" s="8"/>
      <c r="BF21" s="8"/>
      <c r="BG21" s="8"/>
      <c r="BH21" s="8"/>
      <c r="BI21" s="8"/>
      <c r="BJ21" s="8"/>
      <c r="BK21" s="8"/>
      <c r="BL21" s="17"/>
      <c r="BM21" s="8"/>
      <c r="BN21" s="8"/>
      <c r="BO21" s="8"/>
      <c r="BP21" s="40"/>
      <c r="BQ21" s="39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5" t="str">
        <f ca="1">IF($D22="", "", INDIRECT("$D26"))</f>
        <v/>
      </c>
      <c r="B22" s="45"/>
      <c r="C22" s="45"/>
      <c r="D22" s="46"/>
      <c r="E22" s="47"/>
      <c r="F22" s="46" t="str">
        <f t="shared" si="0"/>
        <v/>
      </c>
      <c r="G22" s="46"/>
      <c r="H22" s="48"/>
      <c r="I22" s="46"/>
      <c r="J22" s="46" t="str">
        <f t="shared" si="4"/>
        <v/>
      </c>
      <c r="K22" s="46"/>
      <c r="L22" s="46"/>
      <c r="M22" s="46"/>
      <c r="N22" s="46"/>
      <c r="O22" s="46"/>
      <c r="P22" s="48" t="str">
        <f ca="1">IF($H22="", "", INDIRECT("$H26"))</f>
        <v/>
      </c>
      <c r="Q22" s="48"/>
      <c r="R22" s="46"/>
      <c r="S22" s="46"/>
      <c r="T22" s="46"/>
      <c r="U22" s="49"/>
      <c r="V22" s="49"/>
      <c r="W22" s="46"/>
      <c r="X22" s="46"/>
      <c r="Y22" s="46"/>
      <c r="Z22" s="46"/>
      <c r="AA22" s="46"/>
      <c r="AB22" s="46"/>
      <c r="AC22" s="46"/>
      <c r="AD22" s="46"/>
      <c r="AE22" s="46"/>
      <c r="AF22" s="48" t="str">
        <f ca="1">IF($H22="", "", INDIRECT("$H26"))</f>
        <v/>
      </c>
      <c r="AG22" s="46" t="str">
        <f t="shared" ca="1" si="1"/>
        <v/>
      </c>
      <c r="AH22" s="46"/>
      <c r="AI22" s="46" t="str">
        <f t="shared" ca="1" si="2"/>
        <v/>
      </c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8"/>
      <c r="AV22" s="46"/>
      <c r="AW22" s="46"/>
      <c r="AX22" s="46"/>
      <c r="AY22" s="46"/>
      <c r="AZ22" s="46"/>
      <c r="BA22" s="46"/>
      <c r="BB22" s="46"/>
      <c r="BC22" s="48"/>
      <c r="BD22" s="46" t="str">
        <f t="shared" si="3"/>
        <v/>
      </c>
      <c r="BE22" s="46"/>
      <c r="BF22" s="46"/>
      <c r="BG22" s="46"/>
      <c r="BH22" s="46"/>
      <c r="BI22" s="46"/>
      <c r="BJ22" s="46"/>
      <c r="BK22" s="46"/>
      <c r="BL22" s="48"/>
      <c r="BM22" s="46"/>
      <c r="BN22" s="46"/>
      <c r="BO22" s="46"/>
      <c r="BP22" s="48"/>
      <c r="BQ22" s="8" t="s">
        <v>208</v>
      </c>
      <c r="BR22" s="39"/>
      <c r="BS22" s="39"/>
      <c r="BT22" s="39"/>
      <c r="BU22" s="39"/>
      <c r="BV22" s="39"/>
      <c r="BW22" s="39"/>
      <c r="BX22" s="35"/>
      <c r="BY22" s="35"/>
      <c r="BZ22" s="35"/>
      <c r="CA22" s="35"/>
    </row>
    <row r="23" spans="1:79" x14ac:dyDescent="0.2">
      <c r="A23" s="45" t="str">
        <f ca="1">IF($D23="", "", INDIRECT("$D27"))</f>
        <v/>
      </c>
      <c r="B23" s="45"/>
      <c r="C23" s="45"/>
      <c r="D23" s="46"/>
      <c r="E23" s="47"/>
      <c r="F23" s="46" t="str">
        <f t="shared" si="0"/>
        <v/>
      </c>
      <c r="G23" s="46"/>
      <c r="H23" s="48"/>
      <c r="I23" s="46"/>
      <c r="J23" s="46" t="str">
        <f t="shared" si="4"/>
        <v/>
      </c>
      <c r="K23" s="46"/>
      <c r="L23" s="46"/>
      <c r="M23" s="46"/>
      <c r="N23" s="46"/>
      <c r="O23" s="46"/>
      <c r="P23" s="48" t="str">
        <f ca="1">IF($H23="", "", INDIRECT("$H27"))</f>
        <v/>
      </c>
      <c r="Q23" s="48"/>
      <c r="R23" s="46"/>
      <c r="S23" s="46"/>
      <c r="T23" s="46"/>
      <c r="U23" s="49"/>
      <c r="V23" s="49"/>
      <c r="W23" s="46"/>
      <c r="X23" s="46"/>
      <c r="Y23" s="46"/>
      <c r="Z23" s="46"/>
      <c r="AA23" s="46"/>
      <c r="AB23" s="46"/>
      <c r="AC23" s="46"/>
      <c r="AD23" s="46"/>
      <c r="AE23" s="46"/>
      <c r="AF23" s="48" t="str">
        <f ca="1">IF($H23="", "", INDIRECT("$H27"))</f>
        <v/>
      </c>
      <c r="AG23" s="46" t="str">
        <f t="shared" ca="1" si="1"/>
        <v/>
      </c>
      <c r="AH23" s="46"/>
      <c r="AI23" s="46" t="str">
        <f t="shared" ca="1" si="2"/>
        <v/>
      </c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8"/>
      <c r="AV23" s="46"/>
      <c r="AW23" s="46"/>
      <c r="AX23" s="46"/>
      <c r="AY23" s="46"/>
      <c r="AZ23" s="46"/>
      <c r="BA23" s="46"/>
      <c r="BB23" s="46"/>
      <c r="BC23" s="48"/>
      <c r="BD23" s="46" t="str">
        <f t="shared" si="3"/>
        <v/>
      </c>
      <c r="BE23" s="46"/>
      <c r="BF23" s="46"/>
      <c r="BG23" s="46"/>
      <c r="BH23" s="46"/>
      <c r="BI23" s="46"/>
      <c r="BJ23" s="46"/>
      <c r="BK23" s="46"/>
      <c r="BL23" s="48"/>
      <c r="BM23" s="46"/>
      <c r="BN23" s="46"/>
      <c r="BO23" s="46"/>
      <c r="BP23" s="48"/>
      <c r="BQ23" s="8" t="s">
        <v>209</v>
      </c>
      <c r="BR23" s="8"/>
      <c r="BS23" s="8"/>
      <c r="BT23" s="8"/>
      <c r="BU23" s="8"/>
      <c r="BV23" s="8"/>
      <c r="BW23" s="8"/>
      <c r="BX23" s="39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5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6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7">IF($AF24="", "", "IGO")</f>
        <v/>
      </c>
      <c r="AH24" s="10"/>
      <c r="AI24" s="10" t="str">
        <f t="shared" ref="AI24:AI62" ca="1" si="8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ref="BD24:BD62" si="9">IF($BC24="", "", "IGO")</f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/>
      <c r="BR24" s="10"/>
      <c r="BS24" s="35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5"/>
        <v/>
      </c>
      <c r="G25" s="35"/>
      <c r="H25" s="12"/>
      <c r="I25" s="35"/>
      <c r="J25" s="10" t="str">
        <f t="shared" si="6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7"/>
        <v/>
      </c>
      <c r="AH25" s="10"/>
      <c r="AI25" s="10" t="str">
        <f t="shared" ca="1" si="8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9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5"/>
        <v/>
      </c>
      <c r="G26" s="35"/>
      <c r="H26" s="12"/>
      <c r="I26" s="35"/>
      <c r="J26" s="10" t="str">
        <f t="shared" si="6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7"/>
        <v/>
      </c>
      <c r="AH26" s="10"/>
      <c r="AI26" s="10" t="str">
        <f t="shared" ca="1" si="8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9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5"/>
        <v/>
      </c>
      <c r="G27" s="35"/>
      <c r="H27" s="12"/>
      <c r="I27" s="35"/>
      <c r="J27" s="10" t="str">
        <f t="shared" si="6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7"/>
        <v/>
      </c>
      <c r="AH27" s="10"/>
      <c r="AI27" s="10" t="str">
        <f t="shared" ca="1" si="8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9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5"/>
        <v/>
      </c>
      <c r="G28" s="35"/>
      <c r="H28" s="12"/>
      <c r="I28" s="35"/>
      <c r="J28" s="10" t="str">
        <f t="shared" si="6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7"/>
        <v/>
      </c>
      <c r="AH28" s="10"/>
      <c r="AI28" s="10" t="str">
        <f t="shared" ca="1" si="8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9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5"/>
        <v/>
      </c>
      <c r="G29" s="35"/>
      <c r="H29" s="12"/>
      <c r="I29" s="35"/>
      <c r="J29" s="10" t="str">
        <f t="shared" si="6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7"/>
        <v/>
      </c>
      <c r="AH29" s="10"/>
      <c r="AI29" s="10" t="str">
        <f t="shared" ca="1" si="8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10" t="str">
        <f t="shared" si="9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5"/>
        <v/>
      </c>
      <c r="G30" s="35"/>
      <c r="H30" s="12"/>
      <c r="I30" s="35"/>
      <c r="J30" s="10" t="str">
        <f t="shared" si="6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7"/>
        <v/>
      </c>
      <c r="AH30" s="10"/>
      <c r="AI30" s="10" t="str">
        <f t="shared" ca="1" si="8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10" t="str">
        <f t="shared" si="9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5"/>
        <v/>
      </c>
      <c r="G31" s="35"/>
      <c r="H31" s="12"/>
      <c r="I31" s="35"/>
      <c r="J31" s="10" t="str">
        <f t="shared" si="6"/>
        <v/>
      </c>
      <c r="K31" s="35"/>
      <c r="L31" s="35"/>
      <c r="M31" s="35" t="str">
        <f t="shared" ref="M31:M92" si="10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11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7"/>
        <v/>
      </c>
      <c r="AH31" s="10"/>
      <c r="AI31" s="10" t="str">
        <f t="shared" ca="1" si="8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9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10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5"/>
        <v/>
      </c>
      <c r="G32" s="35"/>
      <c r="H32" s="12"/>
      <c r="I32" s="35"/>
      <c r="J32" s="10" t="str">
        <f t="shared" si="6"/>
        <v/>
      </c>
      <c r="K32" s="35"/>
      <c r="L32" s="35"/>
      <c r="M32" s="35" t="str">
        <f t="shared" si="10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11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7"/>
        <v/>
      </c>
      <c r="AH32" s="10"/>
      <c r="AI32" s="10" t="str">
        <f t="shared" ca="1" si="8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9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10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5"/>
        <v/>
      </c>
      <c r="G33" s="35"/>
      <c r="H33" s="12"/>
      <c r="I33" s="35"/>
      <c r="J33" s="10" t="str">
        <f t="shared" si="6"/>
        <v/>
      </c>
      <c r="K33" s="35"/>
      <c r="L33" s="35"/>
      <c r="M33" s="35" t="str">
        <f t="shared" si="10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11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7"/>
        <v/>
      </c>
      <c r="AH33" s="10"/>
      <c r="AI33" s="10" t="str">
        <f t="shared" ca="1" si="8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9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10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5"/>
        <v/>
      </c>
      <c r="G34" s="35"/>
      <c r="H34" s="12"/>
      <c r="I34" s="35"/>
      <c r="J34" s="10" t="str">
        <f t="shared" si="6"/>
        <v/>
      </c>
      <c r="K34" s="35"/>
      <c r="L34" s="35"/>
      <c r="M34" s="35" t="str">
        <f t="shared" si="10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11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7"/>
        <v/>
      </c>
      <c r="AH34" s="10"/>
      <c r="AI34" s="10" t="str">
        <f t="shared" ca="1" si="8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9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10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5"/>
        <v/>
      </c>
      <c r="G35" s="35"/>
      <c r="H35" s="12"/>
      <c r="I35" s="35"/>
      <c r="J35" s="10" t="str">
        <f t="shared" si="6"/>
        <v/>
      </c>
      <c r="K35" s="35"/>
      <c r="L35" s="35"/>
      <c r="M35" s="35" t="str">
        <f t="shared" si="10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11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7"/>
        <v/>
      </c>
      <c r="AH35" s="10"/>
      <c r="AI35" s="10" t="str">
        <f t="shared" ca="1" si="8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9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10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5"/>
        <v/>
      </c>
      <c r="G36" s="35"/>
      <c r="H36" s="12"/>
      <c r="I36" s="35"/>
      <c r="J36" s="10" t="str">
        <f t="shared" si="6"/>
        <v/>
      </c>
      <c r="K36" s="35"/>
      <c r="L36" s="35"/>
      <c r="M36" s="35" t="str">
        <f t="shared" si="10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11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7"/>
        <v/>
      </c>
      <c r="AH36" s="10"/>
      <c r="AI36" s="10" t="str">
        <f t="shared" ca="1" si="8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9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5"/>
        <v/>
      </c>
      <c r="G37" s="35"/>
      <c r="H37" s="12"/>
      <c r="I37" s="35"/>
      <c r="J37" s="10" t="str">
        <f t="shared" si="6"/>
        <v/>
      </c>
      <c r="K37" s="35"/>
      <c r="L37" s="35"/>
      <c r="M37" s="35" t="str">
        <f t="shared" si="10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11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7"/>
        <v/>
      </c>
      <c r="AH37" s="10"/>
      <c r="AI37" s="10" t="str">
        <f t="shared" ca="1" si="8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9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5"/>
        <v/>
      </c>
      <c r="G38" s="35"/>
      <c r="H38" s="12"/>
      <c r="I38" s="35"/>
      <c r="J38" s="10" t="str">
        <f t="shared" si="6"/>
        <v/>
      </c>
      <c r="K38" s="35"/>
      <c r="L38" s="35"/>
      <c r="M38" s="35" t="str">
        <f t="shared" si="10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11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7"/>
        <v/>
      </c>
      <c r="AH38" s="10"/>
      <c r="AI38" s="10" t="str">
        <f t="shared" ca="1" si="8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9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5"/>
        <v/>
      </c>
      <c r="G39" s="35"/>
      <c r="H39" s="12"/>
      <c r="I39" s="35"/>
      <c r="J39" s="10" t="str">
        <f t="shared" si="6"/>
        <v/>
      </c>
      <c r="K39" s="35"/>
      <c r="L39" s="35"/>
      <c r="M39" s="35" t="str">
        <f t="shared" si="10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11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7"/>
        <v/>
      </c>
      <c r="AH39" s="10"/>
      <c r="AI39" s="10" t="str">
        <f t="shared" ca="1" si="8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9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5"/>
        <v/>
      </c>
      <c r="G40" s="35"/>
      <c r="H40" s="12"/>
      <c r="I40" s="35"/>
      <c r="J40" s="10" t="str">
        <f t="shared" si="6"/>
        <v/>
      </c>
      <c r="K40" s="35"/>
      <c r="L40" s="35"/>
      <c r="M40" s="35" t="str">
        <f t="shared" si="10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11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7"/>
        <v/>
      </c>
      <c r="AH40" s="10"/>
      <c r="AI40" s="10" t="str">
        <f t="shared" ca="1" si="8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9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5"/>
        <v/>
      </c>
      <c r="G41" s="35"/>
      <c r="H41" s="12"/>
      <c r="I41" s="35"/>
      <c r="J41" s="10" t="str">
        <f t="shared" si="6"/>
        <v/>
      </c>
      <c r="K41" s="35"/>
      <c r="L41" s="35"/>
      <c r="M41" s="35" t="str">
        <f t="shared" si="10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11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7"/>
        <v/>
      </c>
      <c r="AH41" s="10"/>
      <c r="AI41" s="10" t="str">
        <f t="shared" ca="1" si="8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9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5"/>
        <v/>
      </c>
      <c r="G42" s="35"/>
      <c r="H42" s="12"/>
      <c r="I42" s="35"/>
      <c r="J42" s="10" t="str">
        <f t="shared" si="6"/>
        <v/>
      </c>
      <c r="K42" s="35"/>
      <c r="L42" s="35"/>
      <c r="M42" s="35" t="str">
        <f t="shared" si="10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11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7"/>
        <v/>
      </c>
      <c r="AH42" s="10"/>
      <c r="AI42" s="10" t="str">
        <f t="shared" ca="1" si="8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9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5"/>
        <v/>
      </c>
      <c r="G43" s="35"/>
      <c r="H43" s="12"/>
      <c r="I43" s="35"/>
      <c r="J43" s="10" t="str">
        <f t="shared" si="6"/>
        <v/>
      </c>
      <c r="K43" s="35"/>
      <c r="L43" s="35"/>
      <c r="M43" s="35" t="str">
        <f t="shared" si="10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11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7"/>
        <v/>
      </c>
      <c r="AH43" s="10"/>
      <c r="AI43" s="10" t="str">
        <f t="shared" ca="1" si="8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9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5"/>
        <v/>
      </c>
      <c r="G44" s="35"/>
      <c r="H44" s="12"/>
      <c r="I44" s="35"/>
      <c r="J44" s="10" t="str">
        <f t="shared" si="6"/>
        <v/>
      </c>
      <c r="K44" s="35"/>
      <c r="L44" s="35"/>
      <c r="M44" s="35" t="str">
        <f t="shared" si="10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11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7"/>
        <v/>
      </c>
      <c r="AH44" s="10"/>
      <c r="AI44" s="10" t="str">
        <f t="shared" ca="1" si="8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9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5"/>
        <v/>
      </c>
      <c r="G45" s="35"/>
      <c r="H45" s="12"/>
      <c r="I45" s="35"/>
      <c r="J45" s="10" t="str">
        <f t="shared" si="6"/>
        <v/>
      </c>
      <c r="K45" s="35"/>
      <c r="L45" s="35"/>
      <c r="M45" s="35" t="str">
        <f t="shared" si="10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11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7"/>
        <v/>
      </c>
      <c r="AH45" s="10"/>
      <c r="AI45" s="10" t="str">
        <f t="shared" ca="1" si="8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9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5"/>
        <v/>
      </c>
      <c r="G46" s="35"/>
      <c r="H46" s="12"/>
      <c r="I46" s="35"/>
      <c r="J46" s="10" t="str">
        <f t="shared" si="6"/>
        <v/>
      </c>
      <c r="K46" s="35"/>
      <c r="L46" s="35"/>
      <c r="M46" s="35" t="str">
        <f t="shared" si="10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11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7"/>
        <v/>
      </c>
      <c r="AH46" s="10"/>
      <c r="AI46" s="10" t="str">
        <f t="shared" ca="1" si="8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0"/>
      <c r="BD46" s="10" t="str">
        <f t="shared" si="9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5"/>
        <v/>
      </c>
      <c r="G47" s="35"/>
      <c r="H47" s="12"/>
      <c r="I47" s="35"/>
      <c r="J47" s="10" t="str">
        <f t="shared" si="6"/>
        <v/>
      </c>
      <c r="K47" s="35"/>
      <c r="L47" s="35"/>
      <c r="M47" s="35" t="str">
        <f t="shared" si="10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11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7"/>
        <v/>
      </c>
      <c r="AH47" s="10"/>
      <c r="AI47" s="10" t="str">
        <f t="shared" ca="1" si="8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0"/>
      <c r="BD47" s="10" t="str">
        <f t="shared" si="9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5"/>
        <v/>
      </c>
      <c r="G48" s="35"/>
      <c r="H48" s="12"/>
      <c r="I48" s="35"/>
      <c r="J48" s="10" t="str">
        <f t="shared" si="6"/>
        <v/>
      </c>
      <c r="K48" s="35"/>
      <c r="L48" s="35"/>
      <c r="M48" s="35" t="str">
        <f t="shared" si="10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11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7"/>
        <v/>
      </c>
      <c r="AH48" s="10"/>
      <c r="AI48" s="10" t="str">
        <f t="shared" ca="1" si="8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9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5"/>
        <v/>
      </c>
      <c r="G49" s="35"/>
      <c r="H49" s="12"/>
      <c r="I49" s="35"/>
      <c r="J49" s="10" t="str">
        <f t="shared" si="6"/>
        <v/>
      </c>
      <c r="K49" s="35"/>
      <c r="L49" s="35"/>
      <c r="M49" s="35" t="str">
        <f t="shared" si="10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11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7"/>
        <v/>
      </c>
      <c r="AH49" s="10"/>
      <c r="AI49" s="10" t="str">
        <f t="shared" ca="1" si="8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9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5"/>
        <v/>
      </c>
      <c r="G50" s="35"/>
      <c r="H50" s="12"/>
      <c r="I50" s="35"/>
      <c r="J50" s="10" t="str">
        <f t="shared" si="6"/>
        <v/>
      </c>
      <c r="K50" s="35"/>
      <c r="L50" s="35"/>
      <c r="M50" s="35" t="str">
        <f t="shared" si="10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11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7"/>
        <v/>
      </c>
      <c r="AH50" s="10"/>
      <c r="AI50" s="10" t="str">
        <f t="shared" ca="1" si="8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9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5"/>
        <v/>
      </c>
      <c r="G51" s="35"/>
      <c r="H51" s="12"/>
      <c r="I51" s="35"/>
      <c r="J51" s="10" t="str">
        <f t="shared" si="6"/>
        <v/>
      </c>
      <c r="K51" s="35"/>
      <c r="L51" s="35"/>
      <c r="M51" s="35" t="str">
        <f t="shared" si="10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11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7"/>
        <v/>
      </c>
      <c r="AH51" s="10"/>
      <c r="AI51" s="10" t="str">
        <f t="shared" ca="1" si="8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9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5"/>
        <v/>
      </c>
      <c r="G52" s="35"/>
      <c r="H52" s="12"/>
      <c r="I52" s="35"/>
      <c r="J52" s="10" t="str">
        <f t="shared" si="6"/>
        <v/>
      </c>
      <c r="K52" s="35"/>
      <c r="L52" s="35"/>
      <c r="M52" s="35" t="str">
        <f t="shared" si="10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11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7"/>
        <v/>
      </c>
      <c r="AH52" s="10"/>
      <c r="AI52" s="10" t="str">
        <f t="shared" ca="1" si="8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9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5"/>
        <v/>
      </c>
      <c r="G53" s="35"/>
      <c r="H53" s="12"/>
      <c r="I53" s="35"/>
      <c r="J53" s="10" t="str">
        <f t="shared" si="6"/>
        <v/>
      </c>
      <c r="K53" s="35"/>
      <c r="L53" s="35"/>
      <c r="M53" s="35" t="str">
        <f t="shared" si="10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11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7"/>
        <v/>
      </c>
      <c r="AH53" s="10"/>
      <c r="AI53" s="10" t="str">
        <f t="shared" ca="1" si="8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9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5"/>
        <v/>
      </c>
      <c r="G54" s="35"/>
      <c r="H54" s="12"/>
      <c r="I54" s="35"/>
      <c r="J54" s="10" t="str">
        <f t="shared" si="6"/>
        <v/>
      </c>
      <c r="K54" s="35"/>
      <c r="L54" s="35"/>
      <c r="M54" s="35" t="str">
        <f t="shared" si="10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11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7"/>
        <v/>
      </c>
      <c r="AH54" s="10"/>
      <c r="AI54" s="10" t="str">
        <f t="shared" ca="1" si="8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10" t="str">
        <f t="shared" si="9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5"/>
        <v/>
      </c>
      <c r="G55" s="35"/>
      <c r="H55" s="12"/>
      <c r="I55" s="35"/>
      <c r="J55" s="10" t="str">
        <f t="shared" si="6"/>
        <v/>
      </c>
      <c r="K55" s="35"/>
      <c r="L55" s="35"/>
      <c r="M55" s="35" t="str">
        <f t="shared" si="10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11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7"/>
        <v/>
      </c>
      <c r="AH55" s="10"/>
      <c r="AI55" s="10" t="str">
        <f t="shared" ca="1" si="8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10" t="str">
        <f t="shared" si="9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5"/>
        <v/>
      </c>
      <c r="G56" s="35"/>
      <c r="H56" s="12"/>
      <c r="I56" s="35"/>
      <c r="J56" s="10" t="str">
        <f t="shared" si="6"/>
        <v/>
      </c>
      <c r="K56" s="35"/>
      <c r="L56" s="35"/>
      <c r="M56" s="35" t="str">
        <f t="shared" si="10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11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7"/>
        <v/>
      </c>
      <c r="AH56" s="10"/>
      <c r="AI56" s="10" t="str">
        <f t="shared" ca="1" si="8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9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5"/>
        <v/>
      </c>
      <c r="G57" s="35"/>
      <c r="H57" s="12"/>
      <c r="I57" s="35"/>
      <c r="J57" s="10" t="str">
        <f t="shared" si="6"/>
        <v/>
      </c>
      <c r="K57" s="35"/>
      <c r="L57" s="35"/>
      <c r="M57" s="35" t="str">
        <f t="shared" si="10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11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7"/>
        <v/>
      </c>
      <c r="AH57" s="10"/>
      <c r="AI57" s="10" t="str">
        <f t="shared" ca="1" si="8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9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5"/>
        <v/>
      </c>
      <c r="G58" s="35"/>
      <c r="H58" s="12"/>
      <c r="I58" s="35"/>
      <c r="J58" s="10" t="str">
        <f t="shared" si="6"/>
        <v/>
      </c>
      <c r="K58" s="35"/>
      <c r="L58" s="35"/>
      <c r="M58" s="35" t="str">
        <f t="shared" si="10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11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7"/>
        <v/>
      </c>
      <c r="AH58" s="10"/>
      <c r="AI58" s="10" t="str">
        <f t="shared" ca="1" si="8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9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5"/>
        <v/>
      </c>
      <c r="G59" s="35"/>
      <c r="H59" s="12"/>
      <c r="I59" s="35"/>
      <c r="J59" s="10" t="str">
        <f t="shared" si="6"/>
        <v/>
      </c>
      <c r="K59" s="35"/>
      <c r="L59" s="35"/>
      <c r="M59" s="35" t="str">
        <f t="shared" si="10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11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7"/>
        <v/>
      </c>
      <c r="AH59" s="10"/>
      <c r="AI59" s="10" t="str">
        <f t="shared" ca="1" si="8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9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5"/>
        <v/>
      </c>
      <c r="G60" s="35"/>
      <c r="H60" s="12"/>
      <c r="I60" s="35"/>
      <c r="J60" s="10" t="str">
        <f t="shared" si="6"/>
        <v/>
      </c>
      <c r="K60" s="35"/>
      <c r="L60" s="35"/>
      <c r="M60" s="35" t="str">
        <f t="shared" si="10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11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7"/>
        <v/>
      </c>
      <c r="AH60" s="10"/>
      <c r="AI60" s="10" t="str">
        <f t="shared" ca="1" si="8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9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5"/>
        <v/>
      </c>
      <c r="G61" s="35"/>
      <c r="H61" s="12"/>
      <c r="I61" s="35"/>
      <c r="J61" s="10" t="str">
        <f t="shared" si="6"/>
        <v/>
      </c>
      <c r="K61" s="35"/>
      <c r="L61" s="35"/>
      <c r="M61" s="35" t="str">
        <f t="shared" si="10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11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7"/>
        <v/>
      </c>
      <c r="AH61" s="10"/>
      <c r="AI61" s="10" t="str">
        <f t="shared" ca="1" si="8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9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5"/>
        <v/>
      </c>
      <c r="G62" s="35"/>
      <c r="H62" s="12"/>
      <c r="I62" s="35"/>
      <c r="J62" s="10" t="str">
        <f t="shared" si="6"/>
        <v/>
      </c>
      <c r="K62" s="35"/>
      <c r="L62" s="35"/>
      <c r="M62" s="35" t="str">
        <f t="shared" si="10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11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7"/>
        <v/>
      </c>
      <c r="AH62" s="10"/>
      <c r="AI62" s="10" t="str">
        <f t="shared" ca="1" si="8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9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12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13">IF($D63="", "", "Main")</f>
        <v/>
      </c>
      <c r="K63" s="35"/>
      <c r="L63" s="35"/>
      <c r="M63" s="35" t="str">
        <f t="shared" si="10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11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7"/>
        <v/>
      </c>
      <c r="AH63" s="10"/>
      <c r="AI63" s="10" t="str">
        <f t="shared" ref="AI63:AI92" ca="1" si="14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ref="BD63:BD92" si="15">IF($BC63="", "", "IGO")</f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12"/>
        <v/>
      </c>
      <c r="G64" s="35"/>
      <c r="H64" s="12"/>
      <c r="I64" s="35"/>
      <c r="J64" s="10" t="str">
        <f t="shared" si="13"/>
        <v/>
      </c>
      <c r="K64" s="35"/>
      <c r="L64" s="35"/>
      <c r="M64" s="35" t="str">
        <f t="shared" si="10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11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6">IF($AF64="", "", "IGO")</f>
        <v/>
      </c>
      <c r="AH64" s="10"/>
      <c r="AI64" s="10" t="str">
        <f t="shared" ca="1" si="14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15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12"/>
        <v/>
      </c>
      <c r="G65" s="35"/>
      <c r="H65" s="12"/>
      <c r="I65" s="35"/>
      <c r="J65" s="10" t="str">
        <f t="shared" si="13"/>
        <v/>
      </c>
      <c r="K65" s="35"/>
      <c r="L65" s="35"/>
      <c r="M65" s="35" t="str">
        <f t="shared" si="10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11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6"/>
        <v/>
      </c>
      <c r="AH65" s="10"/>
      <c r="AI65" s="10" t="str">
        <f t="shared" ca="1" si="14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15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12"/>
        <v/>
      </c>
      <c r="G66" s="35"/>
      <c r="H66" s="12"/>
      <c r="I66" s="35"/>
      <c r="J66" s="10" t="str">
        <f t="shared" si="13"/>
        <v/>
      </c>
      <c r="K66" s="35"/>
      <c r="L66" s="35"/>
      <c r="M66" s="35" t="str">
        <f t="shared" si="10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11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6"/>
        <v/>
      </c>
      <c r="AH66" s="10"/>
      <c r="AI66" s="10" t="str">
        <f t="shared" ca="1" si="14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15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12"/>
        <v/>
      </c>
      <c r="G67" s="35"/>
      <c r="H67" s="12"/>
      <c r="I67" s="35"/>
      <c r="J67" s="10" t="str">
        <f t="shared" si="13"/>
        <v/>
      </c>
      <c r="K67" s="35"/>
      <c r="L67" s="35"/>
      <c r="M67" s="35" t="str">
        <f t="shared" si="10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11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6"/>
        <v/>
      </c>
      <c r="AH67" s="10"/>
      <c r="AI67" s="10" t="str">
        <f t="shared" ca="1" si="14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15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12"/>
        <v/>
      </c>
      <c r="G68" s="35"/>
      <c r="H68" s="12"/>
      <c r="I68" s="35"/>
      <c r="J68" s="10" t="str">
        <f t="shared" si="13"/>
        <v/>
      </c>
      <c r="K68" s="35"/>
      <c r="L68" s="35"/>
      <c r="M68" s="35" t="str">
        <f t="shared" si="10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11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6"/>
        <v/>
      </c>
      <c r="AH68" s="10"/>
      <c r="AI68" s="10" t="str">
        <f t="shared" ca="1" si="14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15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12"/>
        <v/>
      </c>
      <c r="G69" s="35"/>
      <c r="H69" s="12"/>
      <c r="I69" s="35"/>
      <c r="J69" s="10" t="str">
        <f t="shared" si="13"/>
        <v/>
      </c>
      <c r="K69" s="35"/>
      <c r="L69" s="35"/>
      <c r="M69" s="35" t="str">
        <f t="shared" si="10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11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6"/>
        <v/>
      </c>
      <c r="AH69" s="10"/>
      <c r="AI69" s="10" t="str">
        <f t="shared" ca="1" si="14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15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12"/>
        <v/>
      </c>
      <c r="G70" s="35"/>
      <c r="H70" s="12"/>
      <c r="I70" s="35"/>
      <c r="J70" s="10" t="str">
        <f t="shared" si="13"/>
        <v/>
      </c>
      <c r="K70" s="35"/>
      <c r="L70" s="35"/>
      <c r="M70" s="35" t="str">
        <f t="shared" si="10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11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6"/>
        <v/>
      </c>
      <c r="AH70" s="10"/>
      <c r="AI70" s="10" t="str">
        <f t="shared" ca="1" si="14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15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12"/>
        <v/>
      </c>
      <c r="G71" s="35"/>
      <c r="H71" s="12"/>
      <c r="I71" s="35"/>
      <c r="J71" s="10" t="str">
        <f t="shared" si="13"/>
        <v/>
      </c>
      <c r="K71" s="35"/>
      <c r="L71" s="35"/>
      <c r="M71" s="35" t="str">
        <f t="shared" si="10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11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6"/>
        <v/>
      </c>
      <c r="AH71" s="10"/>
      <c r="AI71" s="10" t="str">
        <f t="shared" ca="1" si="14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0"/>
      <c r="BD71" s="10" t="str">
        <f t="shared" si="15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12"/>
        <v/>
      </c>
      <c r="G72" s="35"/>
      <c r="H72" s="12"/>
      <c r="I72" s="35"/>
      <c r="J72" s="10" t="str">
        <f t="shared" si="13"/>
        <v/>
      </c>
      <c r="K72" s="35"/>
      <c r="L72" s="35"/>
      <c r="M72" s="35" t="str">
        <f t="shared" si="10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11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6"/>
        <v/>
      </c>
      <c r="AH72" s="10"/>
      <c r="AI72" s="10" t="str">
        <f t="shared" ca="1" si="14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0"/>
      <c r="BD72" s="10" t="str">
        <f t="shared" si="15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12"/>
        <v/>
      </c>
      <c r="G73" s="35"/>
      <c r="H73" s="12"/>
      <c r="I73" s="35"/>
      <c r="J73" s="10" t="str">
        <f t="shared" si="13"/>
        <v/>
      </c>
      <c r="K73" s="35"/>
      <c r="L73" s="35"/>
      <c r="M73" s="35" t="str">
        <f t="shared" si="10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11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6"/>
        <v/>
      </c>
      <c r="AH73" s="10"/>
      <c r="AI73" s="10" t="str">
        <f t="shared" ca="1" si="14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5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12"/>
        <v/>
      </c>
      <c r="G74" s="35"/>
      <c r="H74" s="12"/>
      <c r="I74" s="35"/>
      <c r="J74" s="10" t="str">
        <f t="shared" si="13"/>
        <v/>
      </c>
      <c r="K74" s="35"/>
      <c r="L74" s="35"/>
      <c r="M74" s="35" t="str">
        <f t="shared" si="10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11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6"/>
        <v/>
      </c>
      <c r="AH74" s="10"/>
      <c r="AI74" s="10" t="str">
        <f t="shared" ca="1" si="14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5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12"/>
        <v/>
      </c>
      <c r="G75" s="35"/>
      <c r="H75" s="12"/>
      <c r="I75" s="35"/>
      <c r="J75" s="10" t="str">
        <f t="shared" si="13"/>
        <v/>
      </c>
      <c r="K75" s="35"/>
      <c r="L75" s="35"/>
      <c r="M75" s="35" t="str">
        <f t="shared" si="10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11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6"/>
        <v/>
      </c>
      <c r="AH75" s="10"/>
      <c r="AI75" s="10" t="str">
        <f t="shared" ca="1" si="14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5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12"/>
        <v/>
      </c>
      <c r="G76" s="35"/>
      <c r="H76" s="12"/>
      <c r="I76" s="35"/>
      <c r="J76" s="10" t="str">
        <f t="shared" si="13"/>
        <v/>
      </c>
      <c r="K76" s="35"/>
      <c r="L76" s="35"/>
      <c r="M76" s="35" t="str">
        <f t="shared" si="10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11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6"/>
        <v/>
      </c>
      <c r="AH76" s="10"/>
      <c r="AI76" s="10" t="str">
        <f t="shared" ca="1" si="14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5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12"/>
        <v/>
      </c>
      <c r="G77" s="35"/>
      <c r="H77" s="12"/>
      <c r="I77" s="35"/>
      <c r="J77" s="10" t="str">
        <f t="shared" si="13"/>
        <v/>
      </c>
      <c r="K77" s="35"/>
      <c r="L77" s="35"/>
      <c r="M77" s="35" t="str">
        <f t="shared" si="10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11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6"/>
        <v/>
      </c>
      <c r="AH77" s="10"/>
      <c r="AI77" s="10" t="str">
        <f t="shared" ca="1" si="14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5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12"/>
        <v/>
      </c>
      <c r="G78" s="35"/>
      <c r="H78" s="12"/>
      <c r="I78" s="35"/>
      <c r="J78" s="10" t="str">
        <f t="shared" si="13"/>
        <v/>
      </c>
      <c r="K78" s="35"/>
      <c r="L78" s="35"/>
      <c r="M78" s="35" t="str">
        <f t="shared" si="10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11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6"/>
        <v/>
      </c>
      <c r="AH78" s="10"/>
      <c r="AI78" s="10" t="str">
        <f t="shared" ca="1" si="14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5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12"/>
        <v/>
      </c>
      <c r="G79" s="35"/>
      <c r="H79" s="12"/>
      <c r="I79" s="35"/>
      <c r="J79" s="10" t="str">
        <f t="shared" si="13"/>
        <v/>
      </c>
      <c r="K79" s="35"/>
      <c r="L79" s="35"/>
      <c r="M79" s="35" t="str">
        <f t="shared" si="10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11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6"/>
        <v/>
      </c>
      <c r="AH79" s="10"/>
      <c r="AI79" s="10" t="str">
        <f t="shared" ca="1" si="14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10" t="str">
        <f t="shared" si="15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12"/>
        <v/>
      </c>
      <c r="G80" s="35"/>
      <c r="H80" s="12"/>
      <c r="I80" s="35"/>
      <c r="J80" s="10" t="str">
        <f t="shared" si="13"/>
        <v/>
      </c>
      <c r="K80" s="35"/>
      <c r="L80" s="35"/>
      <c r="M80" s="35" t="str">
        <f t="shared" si="10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11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6"/>
        <v/>
      </c>
      <c r="AH80" s="10"/>
      <c r="AI80" s="10" t="str">
        <f t="shared" ca="1" si="14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10" t="str">
        <f t="shared" si="15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12"/>
        <v/>
      </c>
      <c r="G81" s="35"/>
      <c r="H81" s="12"/>
      <c r="I81" s="35"/>
      <c r="J81" s="10" t="str">
        <f t="shared" si="13"/>
        <v/>
      </c>
      <c r="K81" s="35"/>
      <c r="L81" s="35"/>
      <c r="M81" s="35" t="str">
        <f t="shared" si="10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11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6"/>
        <v/>
      </c>
      <c r="AH81" s="10"/>
      <c r="AI81" s="10" t="str">
        <f t="shared" ca="1" si="14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5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12"/>
        <v/>
      </c>
      <c r="G82" s="35"/>
      <c r="H82" s="12"/>
      <c r="I82" s="35"/>
      <c r="J82" s="10" t="str">
        <f t="shared" si="13"/>
        <v/>
      </c>
      <c r="K82" s="35"/>
      <c r="L82" s="35"/>
      <c r="M82" s="35" t="str">
        <f t="shared" si="10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11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6"/>
        <v/>
      </c>
      <c r="AH82" s="10"/>
      <c r="AI82" s="10" t="str">
        <f t="shared" ca="1" si="14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5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12"/>
        <v/>
      </c>
      <c r="G83" s="35"/>
      <c r="H83" s="12"/>
      <c r="I83" s="35"/>
      <c r="J83" s="10" t="str">
        <f t="shared" si="13"/>
        <v/>
      </c>
      <c r="K83" s="35"/>
      <c r="L83" s="35"/>
      <c r="M83" s="35" t="str">
        <f t="shared" si="10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11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6"/>
        <v/>
      </c>
      <c r="AH83" s="10"/>
      <c r="AI83" s="10" t="str">
        <f t="shared" ca="1" si="14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5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12"/>
        <v/>
      </c>
      <c r="G84" s="35"/>
      <c r="H84" s="12"/>
      <c r="I84" s="35"/>
      <c r="J84" s="10" t="str">
        <f t="shared" si="13"/>
        <v/>
      </c>
      <c r="K84" s="35"/>
      <c r="L84" s="35"/>
      <c r="M84" s="35" t="str">
        <f t="shared" si="10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11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6"/>
        <v/>
      </c>
      <c r="AH84" s="10"/>
      <c r="AI84" s="10" t="str">
        <f t="shared" ca="1" si="14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5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12"/>
        <v/>
      </c>
      <c r="G85" s="35"/>
      <c r="H85" s="12"/>
      <c r="I85" s="35"/>
      <c r="J85" s="10" t="str">
        <f t="shared" si="13"/>
        <v/>
      </c>
      <c r="K85" s="35"/>
      <c r="L85" s="35"/>
      <c r="M85" s="35" t="str">
        <f t="shared" si="10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11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6"/>
        <v/>
      </c>
      <c r="AH85" s="10"/>
      <c r="AI85" s="10" t="str">
        <f t="shared" ca="1" si="14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5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12"/>
        <v/>
      </c>
      <c r="G86" s="35"/>
      <c r="H86" s="12"/>
      <c r="I86" s="35"/>
      <c r="J86" s="10" t="str">
        <f t="shared" si="13"/>
        <v/>
      </c>
      <c r="K86" s="35"/>
      <c r="L86" s="35"/>
      <c r="M86" s="35" t="str">
        <f t="shared" si="10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11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6"/>
        <v/>
      </c>
      <c r="AH86" s="10"/>
      <c r="AI86" s="10" t="str">
        <f t="shared" ca="1" si="14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5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12"/>
        <v/>
      </c>
      <c r="G87" s="35"/>
      <c r="H87" s="12"/>
      <c r="I87" s="35"/>
      <c r="J87" s="10" t="str">
        <f t="shared" si="13"/>
        <v/>
      </c>
      <c r="K87" s="35"/>
      <c r="L87" s="35"/>
      <c r="M87" s="35" t="str">
        <f t="shared" si="10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11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6"/>
        <v/>
      </c>
      <c r="AH87" s="10"/>
      <c r="AI87" s="10" t="str">
        <f t="shared" ca="1" si="14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5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12"/>
        <v/>
      </c>
      <c r="G88" s="35"/>
      <c r="H88" s="12"/>
      <c r="I88" s="35"/>
      <c r="J88" s="10" t="str">
        <f t="shared" si="13"/>
        <v/>
      </c>
      <c r="K88" s="35"/>
      <c r="L88" s="35"/>
      <c r="M88" s="35" t="str">
        <f t="shared" si="10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11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6"/>
        <v/>
      </c>
      <c r="AH88" s="10"/>
      <c r="AI88" s="10" t="str">
        <f t="shared" ca="1" si="14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5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12"/>
        <v/>
      </c>
      <c r="G89" s="35"/>
      <c r="H89" s="12"/>
      <c r="I89" s="35"/>
      <c r="J89" s="10" t="str">
        <f t="shared" si="13"/>
        <v/>
      </c>
      <c r="K89" s="35"/>
      <c r="L89" s="35"/>
      <c r="M89" s="35" t="str">
        <f t="shared" si="10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11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6"/>
        <v/>
      </c>
      <c r="AH89" s="10"/>
      <c r="AI89" s="10" t="str">
        <f t="shared" ca="1" si="14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5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12"/>
        <v/>
      </c>
      <c r="G90" s="35"/>
      <c r="H90" s="12"/>
      <c r="I90" s="35"/>
      <c r="J90" s="10" t="str">
        <f t="shared" si="13"/>
        <v/>
      </c>
      <c r="K90" s="35"/>
      <c r="L90" s="35"/>
      <c r="M90" s="35" t="str">
        <f t="shared" si="10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11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6"/>
        <v/>
      </c>
      <c r="AH90" s="10"/>
      <c r="AI90" s="10" t="str">
        <f t="shared" ca="1" si="14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5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12"/>
        <v/>
      </c>
      <c r="G91" s="35"/>
      <c r="H91" s="12"/>
      <c r="I91" s="35"/>
      <c r="J91" s="10" t="str">
        <f t="shared" si="13"/>
        <v/>
      </c>
      <c r="K91" s="35"/>
      <c r="L91" s="35"/>
      <c r="M91" s="35" t="str">
        <f t="shared" si="10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11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6"/>
        <v/>
      </c>
      <c r="AH91" s="10"/>
      <c r="AI91" s="10" t="str">
        <f t="shared" ca="1" si="14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5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12"/>
        <v/>
      </c>
      <c r="G92" s="35"/>
      <c r="H92" s="12"/>
      <c r="I92" s="35"/>
      <c r="J92" s="10" t="str">
        <f t="shared" si="13"/>
        <v/>
      </c>
      <c r="K92" s="35"/>
      <c r="L92" s="35"/>
      <c r="M92" s="35" t="str">
        <f t="shared" si="10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11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6"/>
        <v/>
      </c>
      <c r="AH92" s="10"/>
      <c r="AI92" s="10" t="str">
        <f t="shared" ca="1" si="14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5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C4:BK4"/>
    <mergeCell ref="BL4:BN4"/>
    <mergeCell ref="BP4:BQ4"/>
    <mergeCell ref="BR4:BW4"/>
    <mergeCell ref="BX4:CA4"/>
    <mergeCell ref="BA4:BB4"/>
    <mergeCell ref="A4:E4"/>
    <mergeCell ref="F4:K4"/>
    <mergeCell ref="M4:N4"/>
    <mergeCell ref="P4:T4"/>
    <mergeCell ref="U4:Y4"/>
    <mergeCell ref="AA4:AC4"/>
    <mergeCell ref="AD4:AE4"/>
    <mergeCell ref="AF4:AP4"/>
    <mergeCell ref="AQ4:AT4"/>
    <mergeCell ref="AU4:AV4"/>
    <mergeCell ref="AY4:AZ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W48:AW57 AW24:AW32 AW73:AW82" xr:uid="{2E2BBFC0-C102-F641-A30B-2BF8E11C0BAE}">
      <formula1>$V$6:$V$8</formula1>
    </dataValidation>
    <dataValidation type="list" allowBlank="1" showInputMessage="1" showErrorMessage="1" sqref="BN24:BN32 BN48:BN57 BN73:BN82" xr:uid="{491C0E81-8015-754F-B6DE-777ABA776FC6}">
      <formula1>$W$6:$W$9</formula1>
    </dataValidation>
    <dataValidation type="list" allowBlank="1" showInputMessage="1" showErrorMessage="1" sqref="AV24:AV32 AV48:AV57 AV73:AV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AW6:AW15 AW17:AW18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BN6:BN15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AV6:AV15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BH6:BH92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BU6:BU92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AT6:AT92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BQ6:BQ92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BO6:BO92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2020-05-05T20:31:47Z</dcterms:modified>
</cp:coreProperties>
</file>