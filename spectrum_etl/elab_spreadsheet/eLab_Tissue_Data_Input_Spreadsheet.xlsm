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4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pashaa/dev/shahcompbio/spectrum_etl/spectrum_etl/elab_spreadsheet/"/>
    </mc:Choice>
  </mc:AlternateContent>
  <xr:revisionPtr revIDLastSave="0" documentId="13_ncr:1_{D6C1EB42-947E-DD42-BA95-80D7E83AE4DE}" xr6:coauthVersionLast="36" xr6:coauthVersionMax="36" xr10:uidLastSave="{00000000-0000-0000-0000-000000000000}"/>
  <workbookProtection lockStructure="1"/>
  <bookViews>
    <workbookView xWindow="0" yWindow="460" windowWidth="38400" windowHeight="22240" xr2:uid="{00000000-000D-0000-FFFF-FFFF00000000}"/>
  </bookViews>
  <sheets>
    <sheet name="Main Database" sheetId="1" r:id="rId1"/>
    <sheet name="Validations" sheetId="2" r:id="rId2"/>
  </sheets>
  <functionGroups builtInGroupCount="19"/>
  <calcPr calcId="191029"/>
  <fileRecoveryPr repairLoad="1"/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6" i="1" l="1"/>
  <c r="U7" i="1"/>
  <c r="U8" i="1"/>
  <c r="U9" i="1"/>
  <c r="U10" i="1"/>
  <c r="U11" i="1"/>
  <c r="U12" i="1"/>
  <c r="U13" i="1"/>
  <c r="U14" i="1"/>
  <c r="U15" i="1"/>
  <c r="U6" i="1"/>
  <c r="AE15" i="1"/>
  <c r="AE14" i="1"/>
  <c r="AE13" i="1"/>
  <c r="AE12" i="1"/>
  <c r="AE11" i="1"/>
  <c r="AE10" i="1"/>
  <c r="AE9" i="1"/>
  <c r="AE8" i="1"/>
  <c r="AE7" i="1"/>
  <c r="AE6" i="1"/>
  <c r="K5" i="1"/>
  <c r="U5" i="1"/>
  <c r="K15" i="1"/>
  <c r="K14" i="1"/>
  <c r="K13" i="1"/>
  <c r="J5" i="1"/>
  <c r="H15" i="1"/>
  <c r="H14" i="1"/>
  <c r="H13" i="1"/>
  <c r="H12" i="1"/>
  <c r="H11" i="1"/>
  <c r="H10" i="1"/>
  <c r="H9" i="1"/>
  <c r="H8" i="1"/>
  <c r="H7" i="1"/>
  <c r="H6" i="1"/>
  <c r="H5" i="1"/>
  <c r="R4" i="2"/>
  <c r="A7" i="1"/>
  <c r="A8" i="1"/>
  <c r="A9" i="1"/>
  <c r="A10" i="1"/>
  <c r="A11" i="1"/>
  <c r="A12" i="1"/>
  <c r="A13" i="1"/>
  <c r="A14" i="1"/>
  <c r="A15" i="1"/>
  <c r="A5" i="1"/>
</calcChain>
</file>

<file path=xl/sharedStrings.xml><?xml version="1.0" encoding="utf-8"?>
<sst xmlns="http://schemas.openxmlformats.org/spreadsheetml/2006/main" count="289" uniqueCount="245">
  <si>
    <t>Patient ID</t>
  </si>
  <si>
    <t>Name</t>
  </si>
  <si>
    <t>Surgery #</t>
  </si>
  <si>
    <t>Surgery Type</t>
  </si>
  <si>
    <t>Surgeon</t>
  </si>
  <si>
    <t>Surgery Location</t>
  </si>
  <si>
    <t>Surgery Room</t>
  </si>
  <si>
    <t>Excluded</t>
  </si>
  <si>
    <t>Final Pathology</t>
  </si>
  <si>
    <t>Specify Diagnosis</t>
  </si>
  <si>
    <t>Reason for Exclusion</t>
  </si>
  <si>
    <t>Processing Date</t>
  </si>
  <si>
    <t>Specimen Site</t>
  </si>
  <si>
    <t>Site Details</t>
  </si>
  <si>
    <t>Primary Site</t>
  </si>
  <si>
    <t>Tissue Type</t>
  </si>
  <si>
    <t>Total Cell Count (cells/ml)</t>
  </si>
  <si>
    <t>Live Cell Count (cells/ml)</t>
  </si>
  <si>
    <t>Total Volume (ml)</t>
  </si>
  <si>
    <t>Viability (%)</t>
  </si>
  <si>
    <t>Downstream Submission</t>
  </si>
  <si>
    <t>Sorting Method</t>
  </si>
  <si>
    <t>Flow Instrument</t>
  </si>
  <si>
    <t xml:space="preserve">Flow Data Summary </t>
  </si>
  <si>
    <t>Flow Data fcs files</t>
  </si>
  <si>
    <t>Submitted Populations</t>
  </si>
  <si>
    <t>Sequencing Technique</t>
  </si>
  <si>
    <t># of Cells Captured</t>
  </si>
  <si>
    <t>Sample Status</t>
  </si>
  <si>
    <t>QC Checks</t>
  </si>
  <si>
    <t>cDNA QC File</t>
  </si>
  <si>
    <t>Library QC File</t>
  </si>
  <si>
    <t>Notes</t>
  </si>
  <si>
    <t>PPBC Bank Number</t>
  </si>
  <si>
    <t>PPBC Aliquot Number</t>
  </si>
  <si>
    <t>PPBC Accession #</t>
  </si>
  <si>
    <t>Date requested from PPBC</t>
  </si>
  <si>
    <t>Date received from PPBC</t>
  </si>
  <si>
    <t>H&amp;E Available?</t>
  </si>
  <si>
    <t>Tumour Content (%)</t>
  </si>
  <si>
    <t>Microdissected?</t>
  </si>
  <si>
    <t># slides cut for Microdissection</t>
  </si>
  <si>
    <t>Thickness of tissue (um)</t>
  </si>
  <si>
    <t>Concentration (ng/ul)</t>
  </si>
  <si>
    <t>Volume (ul)</t>
  </si>
  <si>
    <t># Slides Submitted</t>
  </si>
  <si>
    <t>IF Panel</t>
  </si>
  <si>
    <t>Patient Info</t>
  </si>
  <si>
    <t>Surgery Info</t>
  </si>
  <si>
    <t>Inclusion Status</t>
  </si>
  <si>
    <t>Diagnosis</t>
  </si>
  <si>
    <t>Specimen Info</t>
  </si>
  <si>
    <t>Processing Info</t>
  </si>
  <si>
    <t>Sorting Info</t>
  </si>
  <si>
    <t>Flow Sorting Info</t>
  </si>
  <si>
    <t>PPBC Info</t>
  </si>
  <si>
    <t>Bulk WGS Info</t>
  </si>
  <si>
    <t>Microdissection Info</t>
  </si>
  <si>
    <t>Extraction Info</t>
  </si>
  <si>
    <t>IF Info</t>
  </si>
  <si>
    <t>SPECTRUM-OV-001</t>
  </si>
  <si>
    <t>SPECTRUM-OV-002</t>
  </si>
  <si>
    <t>SPECTRUM-OV-003</t>
  </si>
  <si>
    <t>SPECTRUM-OV-004</t>
  </si>
  <si>
    <t>SPECTRUM-OV-005</t>
  </si>
  <si>
    <t>SPECTRUM-OV-006</t>
  </si>
  <si>
    <t>SPECTRUM-OV-007</t>
  </si>
  <si>
    <t>SPECTRUM-OV-008</t>
  </si>
  <si>
    <t>SPECTRUM-OV-009</t>
  </si>
  <si>
    <t>SPECTRUM-OV-010</t>
  </si>
  <si>
    <t>SPECTRUM-OV-011</t>
  </si>
  <si>
    <t>SPECTRUM-OV-012</t>
  </si>
  <si>
    <t>SPECTRUM-OV-013</t>
  </si>
  <si>
    <t>SPECTRUM-OV-014</t>
  </si>
  <si>
    <t>SPECTRUM-OV-015</t>
  </si>
  <si>
    <t>SPECTRUM-OV-016</t>
  </si>
  <si>
    <t>SPECTRUM-OV-017</t>
  </si>
  <si>
    <t>SPECTRUM-OV-018</t>
  </si>
  <si>
    <t>SPECTRUM-OV-019</t>
  </si>
  <si>
    <t>SPECTRUM-OV-020</t>
  </si>
  <si>
    <t>SPECTRUM-OV-021</t>
  </si>
  <si>
    <t>SPECTRUM-OV-022</t>
  </si>
  <si>
    <t>SPECTRUM-OV-023</t>
  </si>
  <si>
    <t>SPECTRUM-OV-024</t>
  </si>
  <si>
    <t>SPECTRUM-OV-025</t>
  </si>
  <si>
    <t>SPECTRUM-OV-026</t>
  </si>
  <si>
    <t>SPECTRUM-OV-027</t>
  </si>
  <si>
    <t>SPECTRUM-OV-028</t>
  </si>
  <si>
    <t>SPECTRUM-OV-029</t>
  </si>
  <si>
    <t>SPECTRUM-OV-030</t>
  </si>
  <si>
    <t>SPECTRUM-OV-031</t>
  </si>
  <si>
    <t>SPECTRUM-OV-032</t>
  </si>
  <si>
    <t>SPECTRUM-OV-033</t>
  </si>
  <si>
    <t>SPECTRUM-OV-034</t>
  </si>
  <si>
    <t>SPECTRUM-OV-035</t>
  </si>
  <si>
    <t>SPECTRUM-OV-036</t>
  </si>
  <si>
    <t>SPECTRUM-OV-037</t>
  </si>
  <si>
    <t>SPECTRUM-OV-038</t>
  </si>
  <si>
    <t>SPECTRUM-OV-039</t>
  </si>
  <si>
    <t>SPECTRUM-OV-040</t>
  </si>
  <si>
    <t>SPECTRUM-OV-041</t>
  </si>
  <si>
    <t>SPECTRUM-OV-042</t>
  </si>
  <si>
    <t>SPECTRUM-OV-043</t>
  </si>
  <si>
    <t>SPECTRUM-OV-044</t>
  </si>
  <si>
    <t>SPECTRUM-OV-045</t>
  </si>
  <si>
    <t>SPECTRUM-OV-046</t>
  </si>
  <si>
    <t>SPECTRUM-OV-047</t>
  </si>
  <si>
    <t>SPECTRUM-OV-048</t>
  </si>
  <si>
    <t>SPECTRUM-OV-049</t>
  </si>
  <si>
    <t>SPECTRUM-OV-050</t>
  </si>
  <si>
    <t>SPECTRUM-OV-051</t>
  </si>
  <si>
    <t>SPECTRUM-OV-052</t>
  </si>
  <si>
    <t>SPECTRUM-OV-053</t>
  </si>
  <si>
    <t>SPECTRUM-OV-054</t>
  </si>
  <si>
    <t>SPECTRUM-OV-055</t>
  </si>
  <si>
    <t>SPECTRUM-OV-056</t>
  </si>
  <si>
    <t>SPECTRUM-OV-057</t>
  </si>
  <si>
    <t>SPECTRUM-OV-058</t>
  </si>
  <si>
    <t>SPECTRUM-OV-059</t>
  </si>
  <si>
    <t>SPECTRUM-OV-060</t>
  </si>
  <si>
    <t>SPECTRUM-OV-061</t>
  </si>
  <si>
    <t>SPECTRUM-OV-062</t>
  </si>
  <si>
    <t>SPECTRUM-OV-063</t>
  </si>
  <si>
    <t>SPECTRUM-OV-064</t>
  </si>
  <si>
    <t>SPECTRUM-OV-065</t>
  </si>
  <si>
    <t>SPECTRUM-OV-066</t>
  </si>
  <si>
    <t>SPECTRUM-OV-067</t>
  </si>
  <si>
    <t>SPECTRUM-OV-068</t>
  </si>
  <si>
    <t>SPECTRUM-OV-069</t>
  </si>
  <si>
    <t>SPECTRUM-OV-070</t>
  </si>
  <si>
    <t>SPECTRUM-OV-071</t>
  </si>
  <si>
    <t>SPECTRUM-OV-072</t>
  </si>
  <si>
    <t>SPECTRUM-OV-073</t>
  </si>
  <si>
    <t>SPECTRUM-OV-074</t>
  </si>
  <si>
    <t>SPECTRUM-OV-075</t>
  </si>
  <si>
    <t>SPECTRUM-OV-076</t>
  </si>
  <si>
    <t>SPECTRUM-OV-077</t>
  </si>
  <si>
    <t>SPECTRUM-OV-078</t>
  </si>
  <si>
    <t>SPECTRUM-OV-079</t>
  </si>
  <si>
    <t>SPECTRUM-OV-080</t>
  </si>
  <si>
    <t>SPECTRUM-OV-081</t>
  </si>
  <si>
    <t>SPECTRUM-OV-082</t>
  </si>
  <si>
    <t>SPECTRUM-OV-083</t>
  </si>
  <si>
    <t>SPECTRUM-OV-084</t>
  </si>
  <si>
    <t>SPECTRUM-OV-085</t>
  </si>
  <si>
    <t>SPECTRUM-OV-086</t>
  </si>
  <si>
    <t>SPECTRUM-OV-087</t>
  </si>
  <si>
    <t>SPECTRUM-OV-088</t>
  </si>
  <si>
    <t>SPECTRUM-OV-089</t>
  </si>
  <si>
    <t>SPECTRUM-OV-090</t>
  </si>
  <si>
    <t>SPECTRUM-OV-091</t>
  </si>
  <si>
    <t>SPECTRUM-OV-092</t>
  </si>
  <si>
    <t>SPECTRUM-OV-093</t>
  </si>
  <si>
    <t>SPECTRUM-OV-094</t>
  </si>
  <si>
    <t>SPECTRUM-OV-095</t>
  </si>
  <si>
    <t>SPECTRUM-OV-096</t>
  </si>
  <si>
    <t>SPECTRUM-OV-097</t>
  </si>
  <si>
    <t>SPECTRUM-OV-098</t>
  </si>
  <si>
    <t>SPECTRUM-OV-099</t>
  </si>
  <si>
    <t>SPECTRUM-OV-100</t>
  </si>
  <si>
    <t>Primary Debulking</t>
  </si>
  <si>
    <t>Interval Debulking</t>
  </si>
  <si>
    <t>Laparaoscopic Biopsy</t>
  </si>
  <si>
    <t>Abu-Rustum, Nadeem</t>
  </si>
  <si>
    <t>Broach, Vance</t>
  </si>
  <si>
    <t>Chi, Dennis</t>
  </si>
  <si>
    <t>Gardner, Ginger</t>
  </si>
  <si>
    <t>Jewell, Elizabeth</t>
  </si>
  <si>
    <t>Long-Roche, Kara</t>
  </si>
  <si>
    <t>Mueller, Jennifer</t>
  </si>
  <si>
    <t>Sonoda, Yukio</t>
  </si>
  <si>
    <t>Zivanovic, Oliver</t>
  </si>
  <si>
    <t>Josie</t>
  </si>
  <si>
    <t>Main</t>
  </si>
  <si>
    <t>Yes</t>
  </si>
  <si>
    <t>No</t>
  </si>
  <si>
    <t>Benign</t>
  </si>
  <si>
    <t>Clear Cell Carcinoma</t>
  </si>
  <si>
    <t>HGSC</t>
  </si>
  <si>
    <t>HGSC/G3 Endometrioid</t>
  </si>
  <si>
    <t>LGSC</t>
  </si>
  <si>
    <t>Mucinous Adenocarcinoma</t>
  </si>
  <si>
    <t>Carcinosarcoma</t>
  </si>
  <si>
    <t>Other</t>
  </si>
  <si>
    <t>SCCOHT</t>
  </si>
  <si>
    <t>Ascites</t>
  </si>
  <si>
    <t>Bowel</t>
  </si>
  <si>
    <t>Infracolic Omentum</t>
  </si>
  <si>
    <t>Left Adnexa</t>
  </si>
  <si>
    <t>Left Upper Quadrant</t>
  </si>
  <si>
    <t>Pelvic Peritoneum</t>
  </si>
  <si>
    <t>Right Adnexa</t>
  </si>
  <si>
    <t>Right Upper Quadrant</t>
  </si>
  <si>
    <t>FFPE Block</t>
  </si>
  <si>
    <t>Frozen Tissue</t>
  </si>
  <si>
    <t>Single Cell Suspension</t>
  </si>
  <si>
    <t>Sorted Single Cell Sequencing</t>
  </si>
  <si>
    <t>Storage Only</t>
  </si>
  <si>
    <t>Unsorted Single Cell Sequencing</t>
  </si>
  <si>
    <t>Column Sorting</t>
  </si>
  <si>
    <t>Flow Sorting</t>
  </si>
  <si>
    <t>ARIA 1</t>
  </si>
  <si>
    <t>ARIA 3</t>
  </si>
  <si>
    <t>ARIA 5</t>
  </si>
  <si>
    <t>ARIA 6</t>
  </si>
  <si>
    <t>CD45+</t>
  </si>
  <si>
    <t>CD45-</t>
  </si>
  <si>
    <t>Unsorted</t>
  </si>
  <si>
    <t>scRNA Sequencing</t>
  </si>
  <si>
    <t>DLP</t>
  </si>
  <si>
    <t>Bulk WGS</t>
  </si>
  <si>
    <t>A</t>
  </si>
  <si>
    <t>B</t>
  </si>
  <si>
    <t>Consumed</t>
  </si>
  <si>
    <t>Failed cDNA QC</t>
  </si>
  <si>
    <t>Failed Library QC</t>
  </si>
  <si>
    <t>Passed cDNA QC</t>
  </si>
  <si>
    <t>Passed Library QC</t>
  </si>
  <si>
    <t>Sequencing Location</t>
  </si>
  <si>
    <t>IGO</t>
  </si>
  <si>
    <t>BCCRC</t>
  </si>
  <si>
    <t>C</t>
  </si>
  <si>
    <t>Room</t>
  </si>
  <si>
    <t>Description</t>
  </si>
  <si>
    <t>Note</t>
  </si>
  <si>
    <t>scRNA Sequencing Info</t>
  </si>
  <si>
    <t>WGS Bulk Sequencing Info</t>
  </si>
  <si>
    <t>WGS Date of Submission</t>
  </si>
  <si>
    <t>WGS REX Submission Form</t>
  </si>
  <si>
    <t>WGS iLab Submission Form</t>
  </si>
  <si>
    <t>WGS Sample Status</t>
  </si>
  <si>
    <t>WGS REX Sample ID</t>
  </si>
  <si>
    <t>WGS IGO Submission ID</t>
  </si>
  <si>
    <t>WGS IGO ID</t>
  </si>
  <si>
    <t>WGS Sequencing Location</t>
  </si>
  <si>
    <t>scRNA REX Submission Form</t>
  </si>
  <si>
    <t>scRNA iLab Submission Form</t>
  </si>
  <si>
    <t>scRNA Sample Status</t>
  </si>
  <si>
    <t>scRNA REX Sample ID</t>
  </si>
  <si>
    <t>scRNA IGO Submission ID</t>
  </si>
  <si>
    <t>scRNA IGO ID</t>
  </si>
  <si>
    <t>scRNA Sequencing Location</t>
  </si>
  <si>
    <t>scRNA Date of Submission</t>
  </si>
  <si>
    <t>IF Date of Submission</t>
  </si>
  <si>
    <t>PPBC Downstream Submission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</si>
</sst>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4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Calibri"/>
      <family val="2"/>
    </font>
    <font>
      <sz val="12"/>
      <color rgb="FF000000"/>
      <name val="System Font"/>
      <charset val="1"/>
    </font>
  </fonts>
  <fills count="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127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14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/>
    </xf>
    <xf numFmtId="0" fontId="0" fillId="0" borderId="0" xfId="0" applyAlignment="1" applyProtection="1">
      <alignment horizontal="center" vertical="center"/>
    </xf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0" borderId="0" xfId="0" applyFill="1" applyAlignment="1" applyProtection="1">
      <alignment horizontal="center" vertical="center"/>
    </xf>
    <xf numFmtId="0" fontId="0" fillId="0" borderId="0" xfId="0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</cellXfs>
  <cellStyles count="127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228600</xdr:colOff>
          <xdr:row>0</xdr:row>
          <xdr:rowOff>76200</xdr:rowOff>
        </xdr:from>
        <xdr:to>
          <xdr:col>4</xdr:col>
          <xdr:colOff>482600</xdr:colOff>
          <xdr:row>1</xdr:row>
          <xdr:rowOff>190500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Expand Columns and Copy Paste Data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0</xdr:row>
          <xdr:rowOff>76200</xdr:rowOff>
        </xdr:from>
        <xdr:to>
          <xdr:col>6</xdr:col>
          <xdr:colOff>444500</xdr:colOff>
          <xdr:row>2</xdr:row>
          <xdr:rowOff>25400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System Font"/>
                </a:rPr>
                <a:t>Shrink Columns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3:BR139"/>
  <sheetViews>
    <sheetView tabSelected="1" topLeftCell="AH1" zoomScale="110" zoomScaleNormal="110" workbookViewId="0">
      <pane ySplit="4" topLeftCell="A6" activePane="bottomLeft" state="frozen"/>
      <selection activeCell="P1" sqref="P1"/>
      <selection pane="bottomLeft" activeCell="AQ7" sqref="AQ7"/>
    </sheetView>
  </sheetViews>
  <sheetFormatPr baseColWidth="10" defaultRowHeight="16" x14ac:dyDescent="0.2"/>
  <cols>
    <col min="1" max="1" width="23.5" style="2" customWidth="1"/>
    <col min="2" max="2" width="18" style="2" customWidth="1"/>
    <col min="3" max="3" width="14.1640625" style="2" customWidth="1"/>
    <col min="4" max="4" width="17.33203125" style="2" bestFit="1" customWidth="1"/>
    <col min="5" max="5" width="8.83203125" style="2" bestFit="1" customWidth="1"/>
    <col min="6" max="6" width="12.83203125" style="2" bestFit="1" customWidth="1"/>
    <col min="7" max="7" width="7.83203125" style="2" bestFit="1" customWidth="1"/>
    <col min="8" max="8" width="14.6640625" style="2" bestFit="1" customWidth="1"/>
    <col min="9" max="9" width="12.6640625" style="2" bestFit="1" customWidth="1"/>
    <col min="10" max="10" width="14.33203125" style="2" bestFit="1" customWidth="1"/>
    <col min="11" max="11" width="13.83203125" style="2" bestFit="1" customWidth="1"/>
    <col min="12" max="12" width="15.33203125" style="2" hidden="1" customWidth="1"/>
    <col min="13" max="13" width="18.1640625" style="2" hidden="1" customWidth="1"/>
    <col min="14" max="14" width="14.1640625" style="2" bestFit="1" customWidth="1"/>
    <col min="15" max="15" width="12.83203125" style="2" bestFit="1" customWidth="1"/>
    <col min="16" max="16" width="10.5" style="2" bestFit="1" customWidth="1"/>
    <col min="17" max="17" width="11.1640625" style="2" bestFit="1" customWidth="1"/>
    <col min="18" max="18" width="19" style="2" bestFit="1" customWidth="1"/>
    <col min="19" max="19" width="22.83203125" style="2" hidden="1" customWidth="1"/>
    <col min="20" max="20" width="21.83203125" style="2" hidden="1" customWidth="1"/>
    <col min="21" max="21" width="16.33203125" style="2" hidden="1" customWidth="1"/>
    <col min="22" max="22" width="11.1640625" style="2" hidden="1" customWidth="1"/>
    <col min="23" max="23" width="21.83203125" style="2" hidden="1" customWidth="1"/>
    <col min="24" max="24" width="13.83203125" style="2" hidden="1" customWidth="1"/>
    <col min="25" max="25" width="14.6640625" style="2" customWidth="1"/>
    <col min="26" max="26" width="18.5" style="2" customWidth="1"/>
    <col min="27" max="27" width="16.5" style="2" customWidth="1"/>
    <col min="28" max="28" width="19.83203125" style="2" customWidth="1"/>
    <col min="29" max="29" width="19.5" style="2" customWidth="1"/>
    <col min="30" max="30" width="22.83203125" style="2" customWidth="1"/>
    <col min="31" max="31" width="23.83203125" style="2" customWidth="1"/>
    <col min="32" max="32" width="16.6640625" style="2" customWidth="1"/>
    <col min="33" max="33" width="12.5" style="2" customWidth="1"/>
    <col min="34" max="34" width="22.6640625" style="2" customWidth="1"/>
    <col min="35" max="35" width="19.5" style="2" customWidth="1"/>
    <col min="36" max="36" width="19" style="2" customWidth="1"/>
    <col min="37" max="38" width="25.33203125" style="2" customWidth="1"/>
    <col min="39" max="39" width="9.6640625" style="2" customWidth="1"/>
    <col min="40" max="40" width="12.1640625" style="2" customWidth="1"/>
    <col min="41" max="41" width="13.1640625" style="2" customWidth="1"/>
    <col min="42" max="42" width="6" style="2" customWidth="1"/>
    <col min="43" max="43" width="17.1640625" style="2" customWidth="1"/>
    <col min="44" max="44" width="19" style="2" customWidth="1"/>
    <col min="45" max="45" width="15.33203125" style="2" customWidth="1"/>
    <col min="46" max="46" width="21.83203125" style="2" hidden="1" customWidth="1"/>
    <col min="47" max="47" width="23.1640625" style="2" hidden="1" customWidth="1"/>
    <col min="48" max="48" width="21.83203125" style="2" hidden="1" customWidth="1"/>
    <col min="49" max="49" width="13.6640625" style="2" hidden="1" customWidth="1"/>
    <col min="50" max="50" width="17.83203125" style="2" customWidth="1"/>
    <col min="51" max="51" width="14.5" style="2" customWidth="1"/>
    <col min="52" max="52" width="27" style="2" customWidth="1"/>
    <col min="53" max="53" width="21.1640625" style="2" customWidth="1"/>
    <col min="54" max="54" width="18.83203125" style="2" customWidth="1"/>
    <col min="55" max="55" width="10.83203125" style="2" customWidth="1"/>
    <col min="56" max="56" width="17.1640625" style="2" customWidth="1"/>
    <col min="57" max="57" width="18.1640625" style="2" customWidth="1"/>
    <col min="58" max="58" width="10.83203125" style="2" customWidth="1"/>
    <col min="59" max="59" width="16.33203125" style="2" customWidth="1"/>
    <col min="60" max="60" width="13.1640625" style="2" customWidth="1"/>
    <col min="61" max="61" width="12.83203125" style="2" customWidth="1"/>
    <col min="62" max="62" width="19.1640625" style="2" customWidth="1"/>
    <col min="63" max="63" width="19" style="2" customWidth="1"/>
    <col min="64" max="64" width="22.1640625" style="2" customWidth="1"/>
    <col min="65" max="65" width="16.6640625" style="2" customWidth="1"/>
    <col min="66" max="66" width="7.6640625" style="2" customWidth="1"/>
    <col min="67" max="16384" width="10.83203125" style="2"/>
  </cols>
  <sheetData>
    <row r="3" spans="1:70" s="6" customFormat="1" x14ac:dyDescent="0.2">
      <c r="A3" s="12" t="s">
        <v>47</v>
      </c>
      <c r="B3" s="12"/>
      <c r="C3" s="12"/>
      <c r="D3" s="12"/>
      <c r="E3" s="12" t="s">
        <v>48</v>
      </c>
      <c r="F3" s="12"/>
      <c r="G3" s="12"/>
      <c r="H3" s="12"/>
      <c r="I3" s="12"/>
      <c r="J3" s="7" t="s">
        <v>49</v>
      </c>
      <c r="K3" s="12" t="s">
        <v>50</v>
      </c>
      <c r="L3" s="12"/>
      <c r="M3" s="8"/>
      <c r="N3" s="12" t="s">
        <v>51</v>
      </c>
      <c r="O3" s="12"/>
      <c r="P3" s="12"/>
      <c r="Q3" s="12"/>
      <c r="R3" s="12"/>
      <c r="S3" s="12" t="s">
        <v>52</v>
      </c>
      <c r="T3" s="12"/>
      <c r="U3" s="12"/>
      <c r="V3" s="12"/>
      <c r="W3" s="12"/>
      <c r="X3" s="6" t="s">
        <v>53</v>
      </c>
      <c r="Y3" s="12" t="s">
        <v>54</v>
      </c>
      <c r="Z3" s="12"/>
      <c r="AA3" s="12"/>
      <c r="AB3" s="12" t="s">
        <v>225</v>
      </c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  <c r="AQ3" s="12" t="s">
        <v>55</v>
      </c>
      <c r="AR3" s="12"/>
      <c r="AS3" s="12"/>
      <c r="AT3" s="12"/>
      <c r="AU3" s="12" t="s">
        <v>56</v>
      </c>
      <c r="AV3" s="12"/>
      <c r="AW3" s="12"/>
      <c r="AX3" s="12"/>
      <c r="AY3" s="12"/>
      <c r="AZ3" s="12" t="s">
        <v>57</v>
      </c>
      <c r="BA3" s="12"/>
      <c r="BB3" s="12" t="s">
        <v>58</v>
      </c>
      <c r="BC3" s="12"/>
      <c r="BD3" s="12" t="s">
        <v>226</v>
      </c>
      <c r="BE3" s="13"/>
      <c r="BF3" s="13"/>
      <c r="BG3" s="13"/>
      <c r="BH3" s="13"/>
      <c r="BI3" s="13"/>
      <c r="BJ3" s="13"/>
      <c r="BK3" s="13"/>
      <c r="BL3" s="12" t="s">
        <v>59</v>
      </c>
      <c r="BM3" s="12"/>
      <c r="BN3" s="12"/>
    </row>
    <row r="4" spans="1:70" s="5" customFormat="1" x14ac:dyDescent="0.2">
      <c r="A4" s="5" t="s">
        <v>1</v>
      </c>
      <c r="B4" s="5" t="s">
        <v>223</v>
      </c>
      <c r="C4" s="5" t="s">
        <v>224</v>
      </c>
      <c r="D4" s="5" t="s">
        <v>0</v>
      </c>
      <c r="E4" s="5" t="s">
        <v>2</v>
      </c>
      <c r="F4" s="5" t="s">
        <v>3</v>
      </c>
      <c r="G4" s="5" t="s">
        <v>4</v>
      </c>
      <c r="H4" s="5" t="s">
        <v>5</v>
      </c>
      <c r="I4" s="5" t="s">
        <v>222</v>
      </c>
      <c r="J4" s="5" t="s">
        <v>7</v>
      </c>
      <c r="K4" s="5" t="s">
        <v>8</v>
      </c>
      <c r="L4" s="5" t="s">
        <v>9</v>
      </c>
      <c r="M4" s="5" t="s">
        <v>10</v>
      </c>
      <c r="N4" s="5" t="s">
        <v>11</v>
      </c>
      <c r="O4" s="5" t="s">
        <v>12</v>
      </c>
      <c r="P4" s="5" t="s">
        <v>13</v>
      </c>
      <c r="Q4" s="5" t="s">
        <v>14</v>
      </c>
      <c r="R4" s="5" t="s">
        <v>15</v>
      </c>
      <c r="S4" s="5" t="s">
        <v>16</v>
      </c>
      <c r="T4" s="5" t="s">
        <v>17</v>
      </c>
      <c r="U4" s="5" t="s">
        <v>18</v>
      </c>
      <c r="V4" s="5" t="s">
        <v>19</v>
      </c>
      <c r="W4" s="5" t="s">
        <v>20</v>
      </c>
      <c r="X4" s="5" t="s">
        <v>21</v>
      </c>
      <c r="Y4" s="5" t="s">
        <v>22</v>
      </c>
      <c r="Z4" s="5" t="s">
        <v>23</v>
      </c>
      <c r="AA4" s="5" t="s">
        <v>24</v>
      </c>
      <c r="AB4" s="5" t="s">
        <v>25</v>
      </c>
      <c r="AC4" s="5" t="s">
        <v>26</v>
      </c>
      <c r="AD4" s="5" t="s">
        <v>242</v>
      </c>
      <c r="AE4" s="5" t="s">
        <v>241</v>
      </c>
      <c r="AF4" s="5" t="s">
        <v>27</v>
      </c>
      <c r="AG4" s="5" t="s">
        <v>240</v>
      </c>
      <c r="AH4" s="5" t="s">
        <v>239</v>
      </c>
      <c r="AI4" s="5" t="s">
        <v>238</v>
      </c>
      <c r="AJ4" s="5" t="s">
        <v>237</v>
      </c>
      <c r="AK4" s="5" t="s">
        <v>236</v>
      </c>
      <c r="AL4" s="5" t="s">
        <v>235</v>
      </c>
      <c r="AM4" s="5" t="s">
        <v>29</v>
      </c>
      <c r="AN4" s="5" t="s">
        <v>30</v>
      </c>
      <c r="AO4" s="5" t="s">
        <v>31</v>
      </c>
      <c r="AP4" s="5" t="s">
        <v>32</v>
      </c>
      <c r="AQ4" s="5" t="s">
        <v>33</v>
      </c>
      <c r="AR4" s="5" t="s">
        <v>34</v>
      </c>
      <c r="AS4" s="5" t="s">
        <v>35</v>
      </c>
      <c r="AT4" s="5" t="s">
        <v>244</v>
      </c>
      <c r="AU4" s="5" t="s">
        <v>36</v>
      </c>
      <c r="AV4" s="5" t="s">
        <v>37</v>
      </c>
      <c r="AW4" s="5" t="s">
        <v>38</v>
      </c>
      <c r="AX4" s="5" t="s">
        <v>39</v>
      </c>
      <c r="AY4" s="5" t="s">
        <v>40</v>
      </c>
      <c r="AZ4" s="5" t="s">
        <v>41</v>
      </c>
      <c r="BA4" s="5" t="s">
        <v>42</v>
      </c>
      <c r="BB4" s="5" t="s">
        <v>43</v>
      </c>
      <c r="BC4" s="5" t="s">
        <v>44</v>
      </c>
      <c r="BD4" s="5" t="s">
        <v>227</v>
      </c>
      <c r="BE4" s="5" t="s">
        <v>234</v>
      </c>
      <c r="BF4" s="5" t="s">
        <v>233</v>
      </c>
      <c r="BG4" s="5" t="s">
        <v>232</v>
      </c>
      <c r="BH4" s="5" t="s">
        <v>231</v>
      </c>
      <c r="BI4" s="5" t="s">
        <v>230</v>
      </c>
      <c r="BJ4" s="5" t="s">
        <v>229</v>
      </c>
      <c r="BK4" s="5" t="s">
        <v>228</v>
      </c>
      <c r="BL4" s="5" t="s">
        <v>243</v>
      </c>
      <c r="BM4" s="5" t="s">
        <v>45</v>
      </c>
      <c r="BN4" s="5" t="s">
        <v>46</v>
      </c>
    </row>
    <row r="5" spans="1:70" hidden="1" x14ac:dyDescent="0.2">
      <c r="A5" s="4" t="str">
        <f>D5</f>
        <v>SPECTRUM-OV-001</v>
      </c>
      <c r="B5" s="4"/>
      <c r="C5" s="4"/>
      <c r="D5" s="2" t="s">
        <v>60</v>
      </c>
      <c r="H5" s="2" t="str">
        <f>IF($A$1="", "Main", "")</f>
        <v>Main</v>
      </c>
      <c r="J5" s="2" t="str">
        <f>IF($A$1="", "No")</f>
        <v>No</v>
      </c>
      <c r="K5" s="2" t="str">
        <f>IF($A$1="", "HGSC")</f>
        <v>HGSC</v>
      </c>
      <c r="U5" s="2" t="str">
        <f>IF($A$1="", "15")</f>
        <v>15</v>
      </c>
      <c r="AE5" s="2" t="s">
        <v>219</v>
      </c>
    </row>
    <row r="6" spans="1:70" x14ac:dyDescent="0.2">
      <c r="A6" s="4" t="str">
        <f>D6</f>
        <v>SPECTRUM-OV-001</v>
      </c>
      <c r="B6" s="4"/>
      <c r="C6" s="4"/>
      <c r="D6" s="2" t="s">
        <v>60</v>
      </c>
      <c r="E6" s="2">
        <v>0</v>
      </c>
      <c r="H6" s="2" t="str">
        <f t="shared" ref="H6:H15" si="0">IF($A$1="", "Main", "")</f>
        <v>Main</v>
      </c>
      <c r="K6" s="2" t="s">
        <v>178</v>
      </c>
      <c r="L6" s="9"/>
      <c r="M6" s="9"/>
      <c r="S6" s="9"/>
      <c r="T6" s="9"/>
      <c r="U6" s="9" t="str">
        <f>IF($R6="Single Cell Suspension", "15", "")</f>
        <v/>
      </c>
      <c r="V6" s="9"/>
      <c r="W6" s="9" t="s">
        <v>198</v>
      </c>
      <c r="X6" s="9"/>
      <c r="Y6" s="9"/>
      <c r="Z6" s="9"/>
      <c r="AA6" s="9"/>
      <c r="AB6" s="9"/>
      <c r="AC6" s="9"/>
      <c r="AD6" s="9"/>
      <c r="AE6" s="9" t="str">
        <f t="shared" ref="AE6:AE15" si="1">IF($A$1="", "IGO")</f>
        <v>IGO</v>
      </c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</row>
    <row r="7" spans="1:70" x14ac:dyDescent="0.2">
      <c r="A7" s="4">
        <f t="shared" ref="A7:A15" si="2">D7</f>
        <v>0</v>
      </c>
      <c r="B7" s="4"/>
      <c r="C7" s="4"/>
      <c r="H7" s="2" t="str">
        <f t="shared" si="0"/>
        <v>Main</v>
      </c>
      <c r="K7" s="2" t="s">
        <v>178</v>
      </c>
      <c r="L7" s="9"/>
      <c r="M7" s="9"/>
      <c r="S7" s="9"/>
      <c r="T7" s="9"/>
      <c r="U7" s="9" t="str">
        <f t="shared" ref="U7:U15" si="3">IF($R7="Single Cell Suspension", "15", "")</f>
        <v/>
      </c>
      <c r="V7" s="9"/>
      <c r="W7" s="9"/>
      <c r="X7" s="9" t="s">
        <v>200</v>
      </c>
      <c r="Y7" s="9"/>
      <c r="Z7" s="9"/>
      <c r="AA7" s="9"/>
      <c r="AB7" s="9"/>
      <c r="AC7" s="9"/>
      <c r="AD7" s="9"/>
      <c r="AE7" s="9" t="str">
        <f t="shared" si="1"/>
        <v>IGO</v>
      </c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</row>
    <row r="8" spans="1:70" x14ac:dyDescent="0.2">
      <c r="A8" s="4">
        <f t="shared" si="2"/>
        <v>0</v>
      </c>
      <c r="B8" s="4"/>
      <c r="C8" s="4"/>
      <c r="H8" s="2" t="str">
        <f t="shared" si="0"/>
        <v>Main</v>
      </c>
      <c r="K8" s="2" t="s">
        <v>178</v>
      </c>
      <c r="L8" s="9"/>
      <c r="M8" s="9"/>
      <c r="S8" s="9"/>
      <c r="T8" s="9"/>
      <c r="U8" s="9" t="str">
        <f t="shared" si="3"/>
        <v/>
      </c>
      <c r="V8" s="9"/>
      <c r="W8" s="9"/>
      <c r="X8" s="9"/>
      <c r="Y8" s="9"/>
      <c r="Z8" s="9"/>
      <c r="AA8" s="9"/>
      <c r="AB8" s="9"/>
      <c r="AC8" s="9"/>
      <c r="AD8" s="9"/>
      <c r="AE8" s="9" t="str">
        <f t="shared" si="1"/>
        <v>IGO</v>
      </c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</row>
    <row r="9" spans="1:70" x14ac:dyDescent="0.2">
      <c r="A9" s="4">
        <f t="shared" si="2"/>
        <v>0</v>
      </c>
      <c r="B9" s="4"/>
      <c r="C9" s="4"/>
      <c r="H9" s="2" t="str">
        <f t="shared" si="0"/>
        <v>Main</v>
      </c>
      <c r="K9" s="2" t="s">
        <v>178</v>
      </c>
      <c r="L9" s="9"/>
      <c r="M9" s="9"/>
      <c r="S9" s="9"/>
      <c r="T9" s="9"/>
      <c r="U9" s="9" t="str">
        <f t="shared" si="3"/>
        <v/>
      </c>
      <c r="V9" s="9"/>
      <c r="W9" s="9"/>
      <c r="X9" s="9"/>
      <c r="Y9" s="9"/>
      <c r="Z9" s="9"/>
      <c r="AA9" s="9"/>
      <c r="AB9" s="9"/>
      <c r="AC9" s="9"/>
      <c r="AD9" s="9"/>
      <c r="AE9" s="9" t="str">
        <f t="shared" si="1"/>
        <v>IGO</v>
      </c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</row>
    <row r="10" spans="1:70" x14ac:dyDescent="0.2">
      <c r="A10" s="4">
        <f t="shared" si="2"/>
        <v>0</v>
      </c>
      <c r="B10" s="4"/>
      <c r="C10" s="4"/>
      <c r="H10" s="2" t="str">
        <f t="shared" si="0"/>
        <v>Main</v>
      </c>
      <c r="K10" s="2" t="s">
        <v>178</v>
      </c>
      <c r="L10" s="9"/>
      <c r="M10" s="9"/>
      <c r="S10" s="9"/>
      <c r="T10" s="9"/>
      <c r="U10" s="9" t="str">
        <f t="shared" si="3"/>
        <v/>
      </c>
      <c r="V10" s="9"/>
      <c r="W10" s="9"/>
      <c r="X10" s="9"/>
      <c r="Y10" s="9"/>
      <c r="Z10" s="9"/>
      <c r="AA10" s="9"/>
      <c r="AB10" s="9"/>
      <c r="AC10" s="9"/>
      <c r="AD10" s="9"/>
      <c r="AE10" s="9" t="str">
        <f t="shared" si="1"/>
        <v>IGO</v>
      </c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</row>
    <row r="11" spans="1:70" x14ac:dyDescent="0.2">
      <c r="A11" s="4">
        <f t="shared" si="2"/>
        <v>0</v>
      </c>
      <c r="B11" s="4"/>
      <c r="C11" s="4"/>
      <c r="H11" s="2" t="str">
        <f t="shared" si="0"/>
        <v>Main</v>
      </c>
      <c r="K11" s="2" t="s">
        <v>178</v>
      </c>
      <c r="L11" s="9"/>
      <c r="M11" s="9"/>
      <c r="S11" s="9"/>
      <c r="T11" s="9"/>
      <c r="U11" s="9" t="str">
        <f t="shared" si="3"/>
        <v/>
      </c>
      <c r="V11" s="9"/>
      <c r="W11" s="9"/>
      <c r="X11" s="9"/>
      <c r="Y11" s="9"/>
      <c r="Z11" s="9"/>
      <c r="AA11" s="9"/>
      <c r="AB11" s="9"/>
      <c r="AC11" s="9"/>
      <c r="AD11" s="9"/>
      <c r="AE11" s="9" t="str">
        <f t="shared" si="1"/>
        <v>IGO</v>
      </c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</row>
    <row r="12" spans="1:70" x14ac:dyDescent="0.2">
      <c r="A12" s="4">
        <f t="shared" si="2"/>
        <v>0</v>
      </c>
      <c r="B12" s="4"/>
      <c r="C12" s="4"/>
      <c r="H12" s="2" t="str">
        <f t="shared" si="0"/>
        <v>Main</v>
      </c>
      <c r="K12" s="2" t="s">
        <v>178</v>
      </c>
      <c r="L12" s="9"/>
      <c r="M12" s="9"/>
      <c r="S12" s="9"/>
      <c r="T12" s="9"/>
      <c r="U12" s="9" t="str">
        <f t="shared" si="3"/>
        <v/>
      </c>
      <c r="V12" s="9"/>
      <c r="W12" s="9"/>
      <c r="X12" s="9"/>
      <c r="Y12" s="9"/>
      <c r="Z12" s="9"/>
      <c r="AA12" s="9"/>
      <c r="AB12" s="9"/>
      <c r="AC12" s="9"/>
      <c r="AD12" s="9"/>
      <c r="AE12" s="9" t="str">
        <f t="shared" si="1"/>
        <v>IGO</v>
      </c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</row>
    <row r="13" spans="1:70" x14ac:dyDescent="0.2">
      <c r="A13" s="4">
        <f t="shared" si="2"/>
        <v>0</v>
      </c>
      <c r="B13" s="4"/>
      <c r="C13" s="4"/>
      <c r="H13" s="2" t="str">
        <f t="shared" si="0"/>
        <v>Main</v>
      </c>
      <c r="K13" s="2" t="str">
        <f t="shared" ref="K13:K15" si="4">IF($A$1="", "HGSC")</f>
        <v>HGSC</v>
      </c>
      <c r="L13" s="9"/>
      <c r="M13" s="9"/>
      <c r="S13" s="9"/>
      <c r="T13" s="9"/>
      <c r="U13" s="9" t="str">
        <f t="shared" si="3"/>
        <v/>
      </c>
      <c r="V13" s="9"/>
      <c r="W13" s="9"/>
      <c r="X13" s="9"/>
      <c r="Y13" s="9"/>
      <c r="Z13" s="9"/>
      <c r="AA13" s="9"/>
      <c r="AB13" s="9"/>
      <c r="AC13" s="9"/>
      <c r="AD13" s="9"/>
      <c r="AE13" s="9" t="str">
        <f t="shared" si="1"/>
        <v>IGO</v>
      </c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</row>
    <row r="14" spans="1:70" x14ac:dyDescent="0.2">
      <c r="A14" s="4">
        <f t="shared" si="2"/>
        <v>0</v>
      </c>
      <c r="B14" s="4"/>
      <c r="C14" s="4"/>
      <c r="H14" s="2" t="str">
        <f t="shared" si="0"/>
        <v>Main</v>
      </c>
      <c r="K14" s="2" t="str">
        <f t="shared" si="4"/>
        <v>HGSC</v>
      </c>
      <c r="L14" s="9"/>
      <c r="M14" s="9"/>
      <c r="S14" s="9"/>
      <c r="T14" s="9"/>
      <c r="U14" s="9" t="str">
        <f t="shared" si="3"/>
        <v/>
      </c>
      <c r="V14" s="9"/>
      <c r="W14" s="9"/>
      <c r="X14" s="9"/>
      <c r="Y14" s="9"/>
      <c r="Z14" s="9"/>
      <c r="AA14" s="9"/>
      <c r="AB14" s="9"/>
      <c r="AC14" s="9"/>
      <c r="AD14" s="9"/>
      <c r="AE14" s="9" t="str">
        <f t="shared" si="1"/>
        <v>IGO</v>
      </c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</row>
    <row r="15" spans="1:70" x14ac:dyDescent="0.2">
      <c r="A15" s="4">
        <f t="shared" si="2"/>
        <v>0</v>
      </c>
      <c r="B15" s="4"/>
      <c r="C15" s="4"/>
      <c r="H15" s="2" t="str">
        <f t="shared" si="0"/>
        <v>Main</v>
      </c>
      <c r="K15" s="2" t="str">
        <f t="shared" si="4"/>
        <v>HGSC</v>
      </c>
      <c r="L15" s="9"/>
      <c r="M15" s="9"/>
      <c r="S15" s="9"/>
      <c r="T15" s="9"/>
      <c r="U15" s="9" t="str">
        <f t="shared" si="3"/>
        <v/>
      </c>
      <c r="V15" s="9"/>
      <c r="W15" s="9"/>
      <c r="X15" s="9"/>
      <c r="Y15" s="9"/>
      <c r="Z15" s="9"/>
      <c r="AA15" s="9"/>
      <c r="AB15" s="9"/>
      <c r="AC15" s="9"/>
      <c r="AD15" s="9"/>
      <c r="AE15" s="9" t="str">
        <f t="shared" si="1"/>
        <v>IGO</v>
      </c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</row>
    <row r="16" spans="1:70" x14ac:dyDescent="0.2">
      <c r="B16" s="10"/>
      <c r="C16" s="10"/>
      <c r="D16" s="10"/>
      <c r="E16" s="11"/>
      <c r="F16" s="11"/>
      <c r="G16" s="11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11"/>
      <c r="AC16" s="11"/>
      <c r="AD16" s="11"/>
      <c r="AE16" s="11"/>
      <c r="AF16" s="11"/>
      <c r="AG16" s="11"/>
      <c r="AH16" s="11"/>
      <c r="AI16" s="11"/>
      <c r="AJ16" s="11"/>
      <c r="AK16" s="11"/>
      <c r="AL16" s="11"/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  <c r="BM16" s="11"/>
      <c r="BN16" s="11"/>
      <c r="BO16" s="11"/>
      <c r="BP16" s="11"/>
      <c r="BQ16" s="11"/>
      <c r="BR16" s="11"/>
    </row>
    <row r="17" spans="2:70" x14ac:dyDescent="0.2">
      <c r="B17" s="10"/>
      <c r="C17" s="10"/>
      <c r="D17" s="10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F17" s="11"/>
      <c r="AG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  <c r="BQ17" s="11"/>
      <c r="BR17" s="11"/>
    </row>
    <row r="18" spans="2:70" x14ac:dyDescent="0.2">
      <c r="B18" s="10"/>
      <c r="C18" s="10"/>
      <c r="D18" s="10"/>
      <c r="E18" s="11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/>
      <c r="AE18" s="11"/>
      <c r="AF18" s="11"/>
      <c r="AG18" s="11"/>
      <c r="AH18" s="11"/>
      <c r="AI18" s="11"/>
      <c r="AJ18" s="11"/>
      <c r="AK18" s="11"/>
      <c r="AL18" s="11"/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  <c r="BQ18" s="11"/>
      <c r="BR18" s="11"/>
    </row>
    <row r="19" spans="2:70" x14ac:dyDescent="0.2">
      <c r="B19" s="10"/>
      <c r="C19" s="10"/>
      <c r="D19" s="10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F19" s="11"/>
      <c r="AG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  <c r="BQ19" s="11"/>
      <c r="BR19" s="11"/>
    </row>
    <row r="20" spans="2:70" x14ac:dyDescent="0.2">
      <c r="B20" s="10"/>
      <c r="C20" s="10"/>
      <c r="D20" s="10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F20" s="11"/>
      <c r="AG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  <c r="BQ20" s="11"/>
      <c r="BR20" s="11"/>
    </row>
    <row r="21" spans="2:70" x14ac:dyDescent="0.2">
      <c r="B21" s="10"/>
      <c r="C21" s="10"/>
      <c r="D21" s="10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  <c r="BM21" s="11"/>
      <c r="BN21" s="11"/>
      <c r="BO21" s="11"/>
      <c r="BP21" s="11"/>
      <c r="BQ21" s="11"/>
      <c r="BR21" s="11"/>
    </row>
    <row r="22" spans="2:70" x14ac:dyDescent="0.2">
      <c r="B22" s="10"/>
      <c r="C22" s="10"/>
      <c r="D22" s="10"/>
      <c r="E22" s="11"/>
      <c r="F22" s="11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  <c r="AJ22" s="11"/>
      <c r="AK22" s="11"/>
      <c r="AL22" s="11"/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  <c r="BQ22" s="11"/>
      <c r="BR22" s="11"/>
    </row>
    <row r="23" spans="2:70" x14ac:dyDescent="0.2">
      <c r="B23" s="10"/>
      <c r="C23" s="10"/>
      <c r="D23" s="10"/>
      <c r="E23" s="11"/>
      <c r="F23" s="11"/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  <c r="AF23" s="11"/>
      <c r="AG23" s="11"/>
      <c r="AH23" s="11"/>
      <c r="AI23" s="11"/>
      <c r="AJ23" s="11"/>
      <c r="AK23" s="11"/>
      <c r="AL23" s="11"/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  <c r="BQ23" s="11"/>
      <c r="BR23" s="11"/>
    </row>
    <row r="24" spans="2:70" x14ac:dyDescent="0.2">
      <c r="B24" s="10"/>
      <c r="C24" s="10"/>
      <c r="D24" s="10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  <c r="AL24" s="11"/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  <c r="BQ24" s="11"/>
      <c r="BR24" s="11"/>
    </row>
    <row r="25" spans="2:70" x14ac:dyDescent="0.2">
      <c r="B25" s="10"/>
      <c r="C25" s="10"/>
      <c r="D25" s="10"/>
      <c r="E25" s="11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  <c r="BQ25" s="11"/>
      <c r="BR25" s="11"/>
    </row>
    <row r="26" spans="2:70" x14ac:dyDescent="0.2">
      <c r="B26" s="10"/>
      <c r="C26" s="10"/>
      <c r="D26" s="10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  <c r="AJ26" s="11"/>
      <c r="AK26" s="11"/>
      <c r="AL26" s="11"/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  <c r="BM26" s="11"/>
      <c r="BN26" s="11"/>
      <c r="BO26" s="11"/>
      <c r="BP26" s="11"/>
      <c r="BQ26" s="11"/>
      <c r="BR26" s="11"/>
    </row>
    <row r="27" spans="2:70" x14ac:dyDescent="0.2">
      <c r="B27" s="10"/>
      <c r="C27" s="10"/>
      <c r="D27" s="10"/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  <c r="AJ27" s="11"/>
      <c r="AK27" s="11"/>
      <c r="AL27" s="11"/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  <c r="BQ27" s="11"/>
      <c r="BR27" s="11"/>
    </row>
    <row r="28" spans="2:70" x14ac:dyDescent="0.2">
      <c r="B28" s="10"/>
      <c r="C28" s="10"/>
      <c r="D28" s="10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  <c r="AL28" s="11"/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  <c r="BQ28" s="11"/>
      <c r="BR28" s="11"/>
    </row>
    <row r="29" spans="2:70" x14ac:dyDescent="0.2">
      <c r="B29" s="10"/>
      <c r="C29" s="10"/>
      <c r="D29" s="10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  <c r="AJ29" s="11"/>
      <c r="AK29" s="11"/>
      <c r="AL29" s="11"/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  <c r="BQ29" s="11"/>
      <c r="BR29" s="11"/>
    </row>
    <row r="30" spans="2:70" x14ac:dyDescent="0.2">
      <c r="B30" s="10"/>
      <c r="C30" s="10"/>
      <c r="D30" s="10"/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  <c r="AJ30" s="11"/>
      <c r="AK30" s="11"/>
      <c r="AL30" s="11"/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  <c r="BQ30" s="11"/>
      <c r="BR30" s="11"/>
    </row>
    <row r="31" spans="2:70" x14ac:dyDescent="0.2">
      <c r="B31" s="10"/>
      <c r="C31" s="10"/>
      <c r="D31" s="10"/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  <c r="BC31" s="11"/>
      <c r="BD31" s="11"/>
      <c r="BE31" s="11"/>
      <c r="BF31" s="11"/>
      <c r="BG31" s="11"/>
      <c r="BH31" s="11"/>
      <c r="BI31" s="11"/>
      <c r="BJ31" s="11"/>
      <c r="BK31" s="11"/>
      <c r="BL31" s="11"/>
      <c r="BM31" s="11"/>
      <c r="BN31" s="11"/>
      <c r="BO31" s="11"/>
      <c r="BP31" s="11"/>
      <c r="BQ31" s="11"/>
      <c r="BR31" s="11"/>
    </row>
    <row r="32" spans="2:70" x14ac:dyDescent="0.2">
      <c r="B32" s="10"/>
      <c r="C32" s="10"/>
      <c r="D32" s="10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11"/>
      <c r="AL32" s="11"/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11"/>
      <c r="AZ32" s="11"/>
      <c r="BA32" s="11"/>
      <c r="BB32" s="11"/>
      <c r="BC32" s="11"/>
      <c r="BD32" s="11"/>
      <c r="BE32" s="11"/>
      <c r="BF32" s="11"/>
      <c r="BG32" s="11"/>
      <c r="BH32" s="11"/>
      <c r="BI32" s="11"/>
      <c r="BJ32" s="11"/>
      <c r="BK32" s="11"/>
      <c r="BL32" s="11"/>
      <c r="BM32" s="11"/>
      <c r="BN32" s="11"/>
      <c r="BO32" s="11"/>
      <c r="BP32" s="11"/>
      <c r="BQ32" s="11"/>
      <c r="BR32" s="11"/>
    </row>
    <row r="33" spans="2:70" x14ac:dyDescent="0.2">
      <c r="B33" s="10"/>
      <c r="C33" s="10"/>
      <c r="D33" s="10"/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11"/>
      <c r="AL33" s="11"/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  <c r="BM33" s="11"/>
      <c r="BN33" s="11"/>
      <c r="BO33" s="11"/>
      <c r="BP33" s="11"/>
      <c r="BQ33" s="11"/>
      <c r="BR33" s="11"/>
    </row>
    <row r="34" spans="2:70" x14ac:dyDescent="0.2">
      <c r="B34" s="10"/>
      <c r="C34" s="10"/>
      <c r="D34" s="10"/>
      <c r="E34" s="11"/>
      <c r="F34" s="11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11"/>
      <c r="AL34" s="11"/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  <c r="BM34" s="11"/>
      <c r="BN34" s="11"/>
      <c r="BO34" s="11"/>
      <c r="BP34" s="11"/>
      <c r="BQ34" s="11"/>
      <c r="BR34" s="11"/>
    </row>
    <row r="35" spans="2:70" x14ac:dyDescent="0.2">
      <c r="B35" s="10"/>
      <c r="C35" s="10"/>
      <c r="D35" s="10"/>
      <c r="E35" s="11"/>
      <c r="F35" s="11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11"/>
      <c r="AL35" s="11"/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  <c r="BM35" s="11"/>
      <c r="BN35" s="11"/>
      <c r="BO35" s="11"/>
      <c r="BP35" s="11"/>
      <c r="BQ35" s="11"/>
      <c r="BR35" s="11"/>
    </row>
    <row r="36" spans="2:70" x14ac:dyDescent="0.2">
      <c r="B36" s="10"/>
      <c r="C36" s="10"/>
      <c r="D36" s="10"/>
      <c r="E36" s="11"/>
      <c r="F36" s="11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  <c r="BM36" s="11"/>
      <c r="BN36" s="11"/>
      <c r="BO36" s="11"/>
      <c r="BP36" s="11"/>
      <c r="BQ36" s="11"/>
      <c r="BR36" s="11"/>
    </row>
    <row r="37" spans="2:70" x14ac:dyDescent="0.2">
      <c r="B37" s="10"/>
      <c r="C37" s="10"/>
      <c r="D37" s="10"/>
      <c r="E37" s="11"/>
      <c r="F37" s="11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11"/>
      <c r="AL37" s="11"/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  <c r="BM37" s="11"/>
      <c r="BN37" s="11"/>
      <c r="BO37" s="11"/>
      <c r="BP37" s="11"/>
      <c r="BQ37" s="11"/>
      <c r="BR37" s="11"/>
    </row>
    <row r="38" spans="2:70" x14ac:dyDescent="0.2">
      <c r="B38" s="10"/>
      <c r="C38" s="10"/>
      <c r="D38" s="10"/>
      <c r="E38" s="11"/>
      <c r="F38" s="11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11"/>
      <c r="AL38" s="11"/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  <c r="BM38" s="11"/>
      <c r="BN38" s="11"/>
      <c r="BO38" s="11"/>
      <c r="BP38" s="11"/>
      <c r="BQ38" s="11"/>
      <c r="BR38" s="11"/>
    </row>
    <row r="39" spans="2:70" x14ac:dyDescent="0.2">
      <c r="B39" s="10"/>
      <c r="C39" s="10"/>
      <c r="D39" s="10"/>
      <c r="E39" s="11"/>
      <c r="F39" s="11"/>
      <c r="G39" s="11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  <c r="BH39" s="11"/>
      <c r="BI39" s="11"/>
      <c r="BJ39" s="11"/>
      <c r="BK39" s="11"/>
      <c r="BL39" s="11"/>
      <c r="BM39" s="11"/>
      <c r="BN39" s="11"/>
      <c r="BO39" s="11"/>
      <c r="BP39" s="11"/>
      <c r="BQ39" s="11"/>
      <c r="BR39" s="11"/>
    </row>
    <row r="40" spans="2:70" x14ac:dyDescent="0.2">
      <c r="B40" s="10"/>
      <c r="C40" s="10"/>
      <c r="D40" s="10"/>
      <c r="E40" s="11"/>
      <c r="F40" s="11"/>
      <c r="G40" s="11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  <c r="BG40" s="11"/>
      <c r="BH40" s="11"/>
      <c r="BI40" s="11"/>
      <c r="BJ40" s="11"/>
      <c r="BK40" s="11"/>
      <c r="BL40" s="11"/>
      <c r="BM40" s="11"/>
      <c r="BN40" s="11"/>
      <c r="BO40" s="11"/>
      <c r="BP40" s="11"/>
      <c r="BQ40" s="11"/>
      <c r="BR40" s="11"/>
    </row>
    <row r="41" spans="2:70" x14ac:dyDescent="0.2">
      <c r="B41" s="10"/>
      <c r="C41" s="10"/>
      <c r="D41" s="10"/>
      <c r="E41" s="11"/>
      <c r="F41" s="11"/>
      <c r="G41" s="11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11"/>
      <c r="BK41" s="11"/>
      <c r="BL41" s="11"/>
      <c r="BM41" s="11"/>
      <c r="BN41" s="11"/>
      <c r="BO41" s="11"/>
      <c r="BP41" s="11"/>
      <c r="BQ41" s="11"/>
      <c r="BR41" s="11"/>
    </row>
    <row r="42" spans="2:70" x14ac:dyDescent="0.2">
      <c r="B42" s="10"/>
      <c r="C42" s="10"/>
      <c r="D42" s="10"/>
      <c r="E42" s="11"/>
      <c r="F42" s="11"/>
      <c r="G42" s="11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11"/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  <c r="BG42" s="11"/>
      <c r="BH42" s="11"/>
      <c r="BI42" s="11"/>
      <c r="BJ42" s="11"/>
      <c r="BK42" s="11"/>
      <c r="BL42" s="11"/>
      <c r="BM42" s="11"/>
      <c r="BN42" s="11"/>
      <c r="BO42" s="11"/>
      <c r="BP42" s="11"/>
      <c r="BQ42" s="11"/>
      <c r="BR42" s="11"/>
    </row>
    <row r="43" spans="2:70" x14ac:dyDescent="0.2">
      <c r="B43" s="10"/>
      <c r="C43" s="10"/>
      <c r="D43" s="10"/>
      <c r="E43" s="11"/>
      <c r="F43" s="11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11"/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  <c r="BK43" s="11"/>
      <c r="BL43" s="11"/>
      <c r="BM43" s="11"/>
      <c r="BN43" s="11"/>
      <c r="BO43" s="11"/>
      <c r="BP43" s="11"/>
      <c r="BQ43" s="11"/>
      <c r="BR43" s="11"/>
    </row>
    <row r="44" spans="2:70" x14ac:dyDescent="0.2">
      <c r="B44" s="10"/>
      <c r="C44" s="10"/>
      <c r="D44" s="10"/>
      <c r="E44" s="11"/>
      <c r="F44" s="11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  <c r="BO44" s="11"/>
      <c r="BP44" s="11"/>
      <c r="BQ44" s="11"/>
      <c r="BR44" s="11"/>
    </row>
    <row r="45" spans="2:70" x14ac:dyDescent="0.2">
      <c r="B45" s="10"/>
      <c r="C45" s="10"/>
      <c r="D45" s="10"/>
      <c r="E45" s="11"/>
      <c r="F45" s="11"/>
      <c r="G45" s="11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11"/>
      <c r="AL45" s="11"/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  <c r="BG45" s="11"/>
      <c r="BH45" s="11"/>
      <c r="BI45" s="11"/>
      <c r="BJ45" s="11"/>
      <c r="BK45" s="11"/>
      <c r="BL45" s="11"/>
      <c r="BM45" s="11"/>
      <c r="BN45" s="11"/>
      <c r="BO45" s="11"/>
      <c r="BP45" s="11"/>
      <c r="BQ45" s="11"/>
      <c r="BR45" s="11"/>
    </row>
    <row r="46" spans="2:70" x14ac:dyDescent="0.2">
      <c r="B46" s="10"/>
      <c r="C46" s="10"/>
      <c r="D46" s="10"/>
      <c r="E46" s="11"/>
      <c r="F46" s="11"/>
      <c r="G46" s="11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11"/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  <c r="BG46" s="11"/>
      <c r="BH46" s="11"/>
      <c r="BI46" s="11"/>
      <c r="BJ46" s="11"/>
      <c r="BK46" s="11"/>
      <c r="BL46" s="11"/>
      <c r="BM46" s="11"/>
      <c r="BN46" s="11"/>
      <c r="BO46" s="11"/>
      <c r="BP46" s="11"/>
      <c r="BQ46" s="11"/>
      <c r="BR46" s="11"/>
    </row>
    <row r="47" spans="2:70" x14ac:dyDescent="0.2">
      <c r="B47" s="10"/>
      <c r="C47" s="10"/>
      <c r="D47" s="10"/>
      <c r="E47" s="11"/>
      <c r="F47" s="11"/>
      <c r="G47" s="11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11"/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  <c r="BG47" s="11"/>
      <c r="BH47" s="11"/>
      <c r="BI47" s="11"/>
      <c r="BJ47" s="11"/>
      <c r="BK47" s="11"/>
      <c r="BL47" s="11"/>
      <c r="BM47" s="11"/>
      <c r="BN47" s="11"/>
      <c r="BO47" s="11"/>
      <c r="BP47" s="11"/>
      <c r="BQ47" s="11"/>
      <c r="BR47" s="11"/>
    </row>
    <row r="48" spans="2:70" x14ac:dyDescent="0.2">
      <c r="B48" s="10"/>
      <c r="C48" s="10"/>
      <c r="D48" s="10"/>
      <c r="E48" s="11"/>
      <c r="F48" s="11"/>
      <c r="G48" s="11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  <c r="BG48" s="11"/>
      <c r="BH48" s="11"/>
      <c r="BI48" s="11"/>
      <c r="BJ48" s="11"/>
      <c r="BK48" s="11"/>
      <c r="BL48" s="11"/>
      <c r="BM48" s="11"/>
      <c r="BN48" s="11"/>
      <c r="BO48" s="11"/>
      <c r="BP48" s="11"/>
      <c r="BQ48" s="11"/>
      <c r="BR48" s="11"/>
    </row>
    <row r="49" spans="2:70" x14ac:dyDescent="0.2">
      <c r="B49" s="10"/>
      <c r="C49" s="10"/>
      <c r="D49" s="10"/>
      <c r="E49" s="11"/>
      <c r="F49" s="11"/>
      <c r="G49" s="11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11"/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  <c r="AY49" s="11"/>
      <c r="AZ49" s="11"/>
      <c r="BA49" s="11"/>
      <c r="BB49" s="11"/>
      <c r="BC49" s="11"/>
      <c r="BD49" s="11"/>
      <c r="BE49" s="11"/>
      <c r="BF49" s="11"/>
      <c r="BG49" s="11"/>
      <c r="BH49" s="11"/>
      <c r="BI49" s="11"/>
      <c r="BJ49" s="11"/>
      <c r="BK49" s="11"/>
      <c r="BL49" s="11"/>
      <c r="BM49" s="11"/>
      <c r="BN49" s="11"/>
      <c r="BO49" s="11"/>
      <c r="BP49" s="11"/>
      <c r="BQ49" s="11"/>
      <c r="BR49" s="11"/>
    </row>
    <row r="50" spans="2:70" x14ac:dyDescent="0.2">
      <c r="B50" s="10"/>
      <c r="C50" s="10"/>
      <c r="D50" s="10"/>
      <c r="E50" s="11"/>
      <c r="F50" s="11"/>
      <c r="G50" s="11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11"/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  <c r="BB50" s="11"/>
      <c r="BC50" s="11"/>
      <c r="BD50" s="11"/>
      <c r="BE50" s="11"/>
      <c r="BF50" s="11"/>
      <c r="BG50" s="11"/>
      <c r="BH50" s="11"/>
      <c r="BI50" s="11"/>
      <c r="BJ50" s="11"/>
      <c r="BK50" s="11"/>
      <c r="BL50" s="11"/>
      <c r="BM50" s="11"/>
      <c r="BN50" s="11"/>
      <c r="BO50" s="11"/>
      <c r="BP50" s="11"/>
      <c r="BQ50" s="11"/>
      <c r="BR50" s="11"/>
    </row>
    <row r="51" spans="2:70" x14ac:dyDescent="0.2">
      <c r="B51" s="10"/>
      <c r="C51" s="10"/>
      <c r="D51" s="10"/>
      <c r="E51" s="11"/>
      <c r="F51" s="11"/>
      <c r="G51" s="11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11"/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AZ51" s="11"/>
      <c r="BA51" s="11"/>
      <c r="BB51" s="11"/>
      <c r="BC51" s="11"/>
      <c r="BD51" s="11"/>
      <c r="BE51" s="11"/>
      <c r="BF51" s="11"/>
      <c r="BG51" s="11"/>
      <c r="BH51" s="11"/>
      <c r="BI51" s="11"/>
      <c r="BJ51" s="11"/>
      <c r="BK51" s="11"/>
      <c r="BL51" s="11"/>
      <c r="BM51" s="11"/>
      <c r="BN51" s="11"/>
      <c r="BO51" s="11"/>
      <c r="BP51" s="11"/>
      <c r="BQ51" s="11"/>
      <c r="BR51" s="11"/>
    </row>
    <row r="52" spans="2:70" x14ac:dyDescent="0.2">
      <c r="B52" s="10"/>
      <c r="C52" s="10"/>
      <c r="D52" s="10"/>
      <c r="E52" s="11"/>
      <c r="F52" s="11"/>
      <c r="G52" s="11"/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11"/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  <c r="BC52" s="11"/>
      <c r="BD52" s="11"/>
      <c r="BE52" s="11"/>
      <c r="BF52" s="11"/>
      <c r="BG52" s="11"/>
      <c r="BH52" s="11"/>
      <c r="BI52" s="11"/>
      <c r="BJ52" s="11"/>
      <c r="BK52" s="11"/>
      <c r="BL52" s="11"/>
      <c r="BM52" s="11"/>
      <c r="BN52" s="11"/>
      <c r="BO52" s="11"/>
      <c r="BP52" s="11"/>
      <c r="BQ52" s="11"/>
      <c r="BR52" s="11"/>
    </row>
    <row r="53" spans="2:70" x14ac:dyDescent="0.2">
      <c r="B53" s="10"/>
      <c r="C53" s="10"/>
      <c r="D53" s="10"/>
      <c r="E53" s="11"/>
      <c r="F53" s="11"/>
      <c r="G53" s="11"/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11"/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  <c r="BA53" s="11"/>
      <c r="BB53" s="11"/>
      <c r="BC53" s="11"/>
      <c r="BD53" s="11"/>
      <c r="BE53" s="11"/>
      <c r="BF53" s="11"/>
      <c r="BG53" s="11"/>
      <c r="BH53" s="11"/>
      <c r="BI53" s="11"/>
      <c r="BJ53" s="11"/>
      <c r="BK53" s="11"/>
      <c r="BL53" s="11"/>
      <c r="BM53" s="11"/>
      <c r="BN53" s="11"/>
      <c r="BO53" s="11"/>
      <c r="BP53" s="11"/>
      <c r="BQ53" s="11"/>
      <c r="BR53" s="11"/>
    </row>
    <row r="54" spans="2:70" x14ac:dyDescent="0.2">
      <c r="B54" s="10"/>
      <c r="C54" s="10"/>
      <c r="D54" s="10"/>
      <c r="E54" s="11"/>
      <c r="F54" s="11"/>
      <c r="G54" s="11"/>
      <c r="H54" s="11"/>
      <c r="I54" s="11"/>
      <c r="J54" s="11"/>
      <c r="K54" s="11"/>
      <c r="L54" s="11"/>
      <c r="M54" s="11"/>
      <c r="N54" s="11"/>
      <c r="O54" s="11"/>
      <c r="P54" s="11"/>
      <c r="Q54" s="11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11"/>
      <c r="AL54" s="11"/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AZ54" s="11"/>
      <c r="BA54" s="11"/>
      <c r="BB54" s="11"/>
      <c r="BC54" s="11"/>
      <c r="BD54" s="11"/>
      <c r="BE54" s="11"/>
      <c r="BF54" s="11"/>
      <c r="BG54" s="11"/>
      <c r="BH54" s="11"/>
      <c r="BI54" s="11"/>
      <c r="BJ54" s="11"/>
      <c r="BK54" s="11"/>
      <c r="BL54" s="11"/>
      <c r="BM54" s="11"/>
      <c r="BN54" s="11"/>
      <c r="BO54" s="11"/>
      <c r="BP54" s="11"/>
      <c r="BQ54" s="11"/>
      <c r="BR54" s="11"/>
    </row>
    <row r="55" spans="2:70" x14ac:dyDescent="0.2">
      <c r="B55" s="10"/>
      <c r="C55" s="10"/>
      <c r="D55" s="10"/>
      <c r="E55" s="11"/>
      <c r="F55" s="11"/>
      <c r="G55" s="11"/>
      <c r="H55" s="11"/>
      <c r="I55" s="11"/>
      <c r="J55" s="11"/>
      <c r="K55" s="11"/>
      <c r="L55" s="11"/>
      <c r="M55" s="11"/>
      <c r="N55" s="11"/>
      <c r="O55" s="11"/>
      <c r="P55" s="11"/>
      <c r="Q55" s="11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11"/>
      <c r="AL55" s="11"/>
      <c r="AM55" s="11"/>
      <c r="AN55" s="11"/>
      <c r="AO55" s="11"/>
      <c r="AP55" s="11"/>
      <c r="AQ55" s="11"/>
      <c r="AR55" s="11"/>
      <c r="AS55" s="11"/>
      <c r="AT55" s="11"/>
      <c r="AU55" s="11"/>
      <c r="AV55" s="11"/>
      <c r="AW55" s="11"/>
      <c r="AX55" s="11"/>
      <c r="AY55" s="11"/>
      <c r="AZ55" s="11"/>
      <c r="BA55" s="11"/>
      <c r="BB55" s="11"/>
      <c r="BC55" s="11"/>
      <c r="BD55" s="11"/>
      <c r="BE55" s="11"/>
      <c r="BF55" s="11"/>
      <c r="BG55" s="11"/>
      <c r="BH55" s="11"/>
      <c r="BI55" s="11"/>
      <c r="BJ55" s="11"/>
      <c r="BK55" s="11"/>
      <c r="BL55" s="11"/>
      <c r="BM55" s="11"/>
      <c r="BN55" s="11"/>
      <c r="BO55" s="11"/>
      <c r="BP55" s="11"/>
      <c r="BQ55" s="11"/>
      <c r="BR55" s="11"/>
    </row>
    <row r="56" spans="2:70" x14ac:dyDescent="0.2">
      <c r="B56" s="10"/>
      <c r="C56" s="10"/>
      <c r="D56" s="10"/>
      <c r="E56" s="11"/>
      <c r="F56" s="11"/>
      <c r="G56" s="11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11"/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AZ56" s="11"/>
      <c r="BA56" s="11"/>
      <c r="BB56" s="11"/>
      <c r="BC56" s="11"/>
      <c r="BD56" s="11"/>
      <c r="BE56" s="11"/>
      <c r="BF56" s="11"/>
      <c r="BG56" s="11"/>
      <c r="BH56" s="11"/>
      <c r="BI56" s="11"/>
      <c r="BJ56" s="11"/>
      <c r="BK56" s="11"/>
      <c r="BL56" s="11"/>
      <c r="BM56" s="11"/>
      <c r="BN56" s="11"/>
      <c r="BO56" s="11"/>
      <c r="BP56" s="11"/>
      <c r="BQ56" s="11"/>
      <c r="BR56" s="11"/>
    </row>
    <row r="57" spans="2:70" x14ac:dyDescent="0.2">
      <c r="B57" s="10"/>
      <c r="C57" s="10"/>
      <c r="D57" s="10"/>
      <c r="E57" s="11"/>
      <c r="F57" s="11"/>
      <c r="G57" s="11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11"/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  <c r="BC57" s="11"/>
      <c r="BD57" s="11"/>
      <c r="BE57" s="11"/>
      <c r="BF57" s="11"/>
      <c r="BG57" s="11"/>
      <c r="BH57" s="11"/>
      <c r="BI57" s="11"/>
      <c r="BJ57" s="11"/>
      <c r="BK57" s="11"/>
      <c r="BL57" s="11"/>
      <c r="BM57" s="11"/>
      <c r="BN57" s="11"/>
      <c r="BO57" s="11"/>
      <c r="BP57" s="11"/>
      <c r="BQ57" s="11"/>
      <c r="BR57" s="11"/>
    </row>
    <row r="58" spans="2:70" x14ac:dyDescent="0.2">
      <c r="B58" s="10"/>
      <c r="C58" s="10"/>
      <c r="D58" s="10"/>
      <c r="E58" s="11"/>
      <c r="F58" s="11"/>
      <c r="G58" s="11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11"/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  <c r="BA58" s="11"/>
      <c r="BB58" s="11"/>
      <c r="BC58" s="11"/>
      <c r="BD58" s="11"/>
      <c r="BE58" s="11"/>
      <c r="BF58" s="11"/>
      <c r="BG58" s="11"/>
      <c r="BH58" s="11"/>
      <c r="BI58" s="11"/>
      <c r="BJ58" s="11"/>
      <c r="BK58" s="11"/>
      <c r="BL58" s="11"/>
      <c r="BM58" s="11"/>
      <c r="BN58" s="11"/>
      <c r="BO58" s="11"/>
      <c r="BP58" s="11"/>
      <c r="BQ58" s="11"/>
      <c r="BR58" s="11"/>
    </row>
    <row r="59" spans="2:70" x14ac:dyDescent="0.2">
      <c r="B59" s="10"/>
      <c r="C59" s="10"/>
      <c r="D59" s="10"/>
      <c r="E59" s="11"/>
      <c r="F59" s="11"/>
      <c r="G59" s="11"/>
      <c r="H59" s="11"/>
      <c r="I59" s="11"/>
      <c r="J59" s="11"/>
      <c r="K59" s="11"/>
      <c r="L59" s="11"/>
      <c r="M59" s="11"/>
      <c r="N59" s="11"/>
      <c r="O59" s="11"/>
      <c r="P59" s="11"/>
      <c r="Q59" s="11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11"/>
      <c r="AL59" s="11"/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  <c r="AY59" s="11"/>
      <c r="AZ59" s="11"/>
      <c r="BA59" s="11"/>
      <c r="BB59" s="11"/>
      <c r="BC59" s="11"/>
      <c r="BD59" s="11"/>
      <c r="BE59" s="11"/>
      <c r="BF59" s="11"/>
      <c r="BG59" s="11"/>
      <c r="BH59" s="11"/>
      <c r="BI59" s="11"/>
      <c r="BJ59" s="11"/>
      <c r="BK59" s="11"/>
      <c r="BL59" s="11"/>
      <c r="BM59" s="11"/>
      <c r="BN59" s="11"/>
      <c r="BO59" s="11"/>
      <c r="BP59" s="11"/>
      <c r="BQ59" s="11"/>
      <c r="BR59" s="11"/>
    </row>
    <row r="60" spans="2:70" x14ac:dyDescent="0.2">
      <c r="B60" s="10"/>
      <c r="C60" s="10"/>
      <c r="D60" s="10"/>
      <c r="E60" s="11"/>
      <c r="F60" s="11"/>
      <c r="G60" s="11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11"/>
      <c r="AL60" s="11"/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AZ60" s="11"/>
      <c r="BA60" s="11"/>
      <c r="BB60" s="11"/>
      <c r="BC60" s="11"/>
      <c r="BD60" s="11"/>
      <c r="BE60" s="11"/>
      <c r="BF60" s="11"/>
      <c r="BG60" s="11"/>
      <c r="BH60" s="11"/>
      <c r="BI60" s="11"/>
      <c r="BJ60" s="11"/>
      <c r="BK60" s="11"/>
      <c r="BL60" s="11"/>
      <c r="BM60" s="11"/>
      <c r="BN60" s="11"/>
      <c r="BO60" s="11"/>
      <c r="BP60" s="11"/>
      <c r="BQ60" s="11"/>
      <c r="BR60" s="11"/>
    </row>
    <row r="61" spans="2:70" x14ac:dyDescent="0.2">
      <c r="B61" s="10"/>
      <c r="C61" s="10"/>
      <c r="D61" s="10"/>
      <c r="E61" s="11"/>
      <c r="F61" s="11"/>
      <c r="G61" s="11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11"/>
      <c r="AL61" s="11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  <c r="AY61" s="11"/>
      <c r="AZ61" s="11"/>
      <c r="BA61" s="11"/>
      <c r="BB61" s="11"/>
      <c r="BC61" s="11"/>
      <c r="BD61" s="11"/>
      <c r="BE61" s="11"/>
      <c r="BF61" s="11"/>
      <c r="BG61" s="11"/>
      <c r="BH61" s="11"/>
      <c r="BI61" s="11"/>
      <c r="BJ61" s="11"/>
      <c r="BK61" s="11"/>
      <c r="BL61" s="11"/>
      <c r="BM61" s="11"/>
      <c r="BN61" s="11"/>
      <c r="BO61" s="11"/>
      <c r="BP61" s="11"/>
      <c r="BQ61" s="11"/>
      <c r="BR61" s="11"/>
    </row>
    <row r="62" spans="2:70" x14ac:dyDescent="0.2">
      <c r="B62" s="10"/>
      <c r="C62" s="10"/>
      <c r="D62" s="10"/>
      <c r="E62" s="11"/>
      <c r="F62" s="11"/>
      <c r="G62" s="11"/>
      <c r="H62" s="11"/>
      <c r="I62" s="11"/>
      <c r="J62" s="11"/>
      <c r="K62" s="11"/>
      <c r="L62" s="11"/>
      <c r="M62" s="11"/>
      <c r="N62" s="11"/>
      <c r="O62" s="11"/>
      <c r="P62" s="11"/>
      <c r="Q62" s="11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11"/>
      <c r="AL62" s="11"/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  <c r="AY62" s="11"/>
      <c r="AZ62" s="11"/>
      <c r="BA62" s="11"/>
      <c r="BB62" s="11"/>
      <c r="BC62" s="11"/>
      <c r="BD62" s="11"/>
      <c r="BE62" s="11"/>
      <c r="BF62" s="11"/>
      <c r="BG62" s="11"/>
      <c r="BH62" s="11"/>
      <c r="BI62" s="11"/>
      <c r="BJ62" s="11"/>
      <c r="BK62" s="11"/>
      <c r="BL62" s="11"/>
      <c r="BM62" s="11"/>
      <c r="BN62" s="11"/>
      <c r="BO62" s="11"/>
      <c r="BP62" s="11"/>
      <c r="BQ62" s="11"/>
      <c r="BR62" s="11"/>
    </row>
    <row r="63" spans="2:70" x14ac:dyDescent="0.2">
      <c r="B63" s="10"/>
      <c r="C63" s="10"/>
      <c r="D63" s="10"/>
      <c r="E63" s="11"/>
      <c r="F63" s="11"/>
      <c r="G63" s="11"/>
      <c r="H63" s="11"/>
      <c r="I63" s="11"/>
      <c r="J63" s="11"/>
      <c r="K63" s="11"/>
      <c r="L63" s="11"/>
      <c r="M63" s="11"/>
      <c r="N63" s="11"/>
      <c r="O63" s="11"/>
      <c r="P63" s="11"/>
      <c r="Q63" s="11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11"/>
      <c r="AL63" s="11"/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  <c r="AY63" s="11"/>
      <c r="AZ63" s="11"/>
      <c r="BA63" s="11"/>
      <c r="BB63" s="11"/>
      <c r="BC63" s="11"/>
      <c r="BD63" s="11"/>
      <c r="BE63" s="11"/>
      <c r="BF63" s="11"/>
      <c r="BG63" s="11"/>
      <c r="BH63" s="11"/>
      <c r="BI63" s="11"/>
      <c r="BJ63" s="11"/>
      <c r="BK63" s="11"/>
      <c r="BL63" s="11"/>
      <c r="BM63" s="11"/>
      <c r="BN63" s="11"/>
      <c r="BO63" s="11"/>
      <c r="BP63" s="11"/>
      <c r="BQ63" s="11"/>
      <c r="BR63" s="11"/>
    </row>
    <row r="64" spans="2:70" x14ac:dyDescent="0.2">
      <c r="B64" s="10"/>
      <c r="C64" s="10"/>
      <c r="D64" s="10"/>
      <c r="E64" s="11"/>
      <c r="F64" s="11"/>
      <c r="G64" s="11"/>
      <c r="H64" s="11"/>
      <c r="I64" s="11"/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11"/>
      <c r="AL64" s="11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  <c r="AY64" s="11"/>
      <c r="AZ64" s="11"/>
      <c r="BA64" s="11"/>
      <c r="BB64" s="11"/>
      <c r="BC64" s="11"/>
      <c r="BD64" s="11"/>
      <c r="BE64" s="11"/>
      <c r="BF64" s="11"/>
      <c r="BG64" s="11"/>
      <c r="BH64" s="11"/>
      <c r="BI64" s="11"/>
      <c r="BJ64" s="11"/>
      <c r="BK64" s="11"/>
      <c r="BL64" s="11"/>
      <c r="BM64" s="11"/>
      <c r="BN64" s="11"/>
      <c r="BO64" s="11"/>
      <c r="BP64" s="11"/>
      <c r="BQ64" s="11"/>
      <c r="BR64" s="11"/>
    </row>
    <row r="65" spans="2:70" x14ac:dyDescent="0.2">
      <c r="B65" s="10"/>
      <c r="C65" s="10"/>
      <c r="D65" s="10"/>
      <c r="E65" s="11"/>
      <c r="F65" s="11"/>
      <c r="G65" s="11"/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11"/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  <c r="AY65" s="11"/>
      <c r="AZ65" s="11"/>
      <c r="BA65" s="11"/>
      <c r="BB65" s="11"/>
      <c r="BC65" s="11"/>
      <c r="BD65" s="11"/>
      <c r="BE65" s="11"/>
      <c r="BF65" s="11"/>
      <c r="BG65" s="11"/>
      <c r="BH65" s="11"/>
      <c r="BI65" s="11"/>
      <c r="BJ65" s="11"/>
      <c r="BK65" s="11"/>
      <c r="BL65" s="11"/>
      <c r="BM65" s="11"/>
      <c r="BN65" s="11"/>
      <c r="BO65" s="11"/>
      <c r="BP65" s="11"/>
      <c r="BQ65" s="11"/>
      <c r="BR65" s="11"/>
    </row>
    <row r="66" spans="2:70" x14ac:dyDescent="0.2">
      <c r="B66" s="10"/>
      <c r="C66" s="10"/>
      <c r="D66" s="10"/>
      <c r="E66" s="11"/>
      <c r="F66" s="11"/>
      <c r="G66" s="11"/>
      <c r="H66" s="11"/>
      <c r="I66" s="11"/>
      <c r="J66" s="11"/>
      <c r="K66" s="11"/>
      <c r="L66" s="11"/>
      <c r="M66" s="11"/>
      <c r="N66" s="11"/>
      <c r="O66" s="11"/>
      <c r="P66" s="11"/>
      <c r="Q66" s="11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11"/>
      <c r="AL66" s="11"/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  <c r="AY66" s="11"/>
      <c r="AZ66" s="11"/>
      <c r="BA66" s="11"/>
      <c r="BB66" s="11"/>
      <c r="BC66" s="11"/>
      <c r="BD66" s="11"/>
      <c r="BE66" s="11"/>
      <c r="BF66" s="11"/>
      <c r="BG66" s="11"/>
      <c r="BH66" s="11"/>
      <c r="BI66" s="11"/>
      <c r="BJ66" s="11"/>
      <c r="BK66" s="11"/>
      <c r="BL66" s="11"/>
      <c r="BM66" s="11"/>
      <c r="BN66" s="11"/>
      <c r="BO66" s="11"/>
      <c r="BP66" s="11"/>
      <c r="BQ66" s="11"/>
      <c r="BR66" s="11"/>
    </row>
    <row r="67" spans="2:70" x14ac:dyDescent="0.2">
      <c r="B67" s="10"/>
      <c r="C67" s="10"/>
      <c r="D67" s="10"/>
      <c r="E67" s="11"/>
      <c r="F67" s="11"/>
      <c r="G67" s="11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11"/>
      <c r="AL67" s="11"/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  <c r="AY67" s="11"/>
      <c r="AZ67" s="11"/>
      <c r="BA67" s="11"/>
      <c r="BB67" s="11"/>
      <c r="BC67" s="11"/>
      <c r="BD67" s="11"/>
      <c r="BE67" s="11"/>
      <c r="BF67" s="11"/>
      <c r="BG67" s="11"/>
      <c r="BH67" s="11"/>
      <c r="BI67" s="11"/>
      <c r="BJ67" s="11"/>
      <c r="BK67" s="11"/>
      <c r="BL67" s="11"/>
      <c r="BM67" s="11"/>
      <c r="BN67" s="11"/>
      <c r="BO67" s="11"/>
      <c r="BP67" s="11"/>
      <c r="BQ67" s="11"/>
      <c r="BR67" s="11"/>
    </row>
    <row r="68" spans="2:70" x14ac:dyDescent="0.2">
      <c r="B68" s="10"/>
      <c r="C68" s="10"/>
      <c r="D68" s="10"/>
      <c r="E68" s="11"/>
      <c r="F68" s="11"/>
      <c r="G68" s="11"/>
      <c r="H68" s="11"/>
      <c r="I68" s="11"/>
      <c r="J68" s="11"/>
      <c r="K68" s="11"/>
      <c r="L68" s="11"/>
      <c r="M68" s="11"/>
      <c r="N68" s="11"/>
      <c r="O68" s="11"/>
      <c r="P68" s="11"/>
      <c r="Q68" s="11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11"/>
      <c r="AL68" s="11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  <c r="AY68" s="11"/>
      <c r="AZ68" s="11"/>
      <c r="BA68" s="11"/>
      <c r="BB68" s="11"/>
      <c r="BC68" s="11"/>
      <c r="BD68" s="11"/>
      <c r="BE68" s="11"/>
      <c r="BF68" s="11"/>
      <c r="BG68" s="11"/>
      <c r="BH68" s="11"/>
      <c r="BI68" s="11"/>
      <c r="BJ68" s="11"/>
      <c r="BK68" s="11"/>
      <c r="BL68" s="11"/>
      <c r="BM68" s="11"/>
      <c r="BN68" s="11"/>
      <c r="BO68" s="11"/>
      <c r="BP68" s="11"/>
      <c r="BQ68" s="11"/>
      <c r="BR68" s="11"/>
    </row>
    <row r="69" spans="2:70" x14ac:dyDescent="0.2">
      <c r="B69" s="10"/>
      <c r="C69" s="10"/>
      <c r="D69" s="10"/>
      <c r="E69" s="11"/>
      <c r="F69" s="11"/>
      <c r="G69" s="11"/>
      <c r="H69" s="11"/>
      <c r="I69" s="11"/>
      <c r="J69" s="11"/>
      <c r="K69" s="11"/>
      <c r="L69" s="11"/>
      <c r="M69" s="11"/>
      <c r="N69" s="11"/>
      <c r="O69" s="11"/>
      <c r="P69" s="11"/>
      <c r="Q69" s="11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11"/>
      <c r="AL69" s="11"/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  <c r="AY69" s="11"/>
      <c r="AZ69" s="11"/>
      <c r="BA69" s="11"/>
      <c r="BB69" s="11"/>
      <c r="BC69" s="11"/>
      <c r="BD69" s="11"/>
      <c r="BE69" s="11"/>
      <c r="BF69" s="11"/>
      <c r="BG69" s="11"/>
      <c r="BH69" s="11"/>
      <c r="BI69" s="11"/>
      <c r="BJ69" s="11"/>
      <c r="BK69" s="11"/>
      <c r="BL69" s="11"/>
      <c r="BM69" s="11"/>
      <c r="BN69" s="11"/>
      <c r="BO69" s="11"/>
      <c r="BP69" s="11"/>
      <c r="BQ69" s="11"/>
      <c r="BR69" s="11"/>
    </row>
    <row r="70" spans="2:70" x14ac:dyDescent="0.2">
      <c r="B70" s="10"/>
      <c r="C70" s="10"/>
      <c r="D70" s="10"/>
      <c r="E70" s="11"/>
      <c r="F70" s="11"/>
      <c r="G70" s="11"/>
      <c r="H70" s="11"/>
      <c r="I70" s="11"/>
      <c r="J70" s="11"/>
      <c r="K70" s="11"/>
      <c r="L70" s="11"/>
      <c r="M70" s="11"/>
      <c r="N70" s="11"/>
      <c r="O70" s="11"/>
      <c r="P70" s="11"/>
      <c r="Q70" s="11"/>
      <c r="R70" s="11"/>
      <c r="S70" s="11"/>
      <c r="T70" s="11"/>
      <c r="U70" s="11"/>
      <c r="V70" s="11"/>
      <c r="W70" s="11"/>
      <c r="X70" s="11"/>
      <c r="Y70" s="11"/>
      <c r="Z70" s="11"/>
      <c r="AA70" s="11"/>
      <c r="AB70" s="11"/>
      <c r="AC70" s="11"/>
      <c r="AD70" s="11"/>
      <c r="AE70" s="11"/>
      <c r="AF70" s="11"/>
      <c r="AG70" s="11"/>
      <c r="AH70" s="11"/>
      <c r="AI70" s="11"/>
      <c r="AJ70" s="11"/>
      <c r="AK70" s="11"/>
      <c r="AL70" s="11"/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  <c r="AY70" s="11"/>
      <c r="AZ70" s="11"/>
      <c r="BA70" s="11"/>
      <c r="BB70" s="11"/>
      <c r="BC70" s="11"/>
      <c r="BD70" s="11"/>
      <c r="BE70" s="11"/>
      <c r="BF70" s="11"/>
      <c r="BG70" s="11"/>
      <c r="BH70" s="11"/>
      <c r="BI70" s="11"/>
      <c r="BJ70" s="11"/>
      <c r="BK70" s="11"/>
      <c r="BL70" s="11"/>
      <c r="BM70" s="11"/>
      <c r="BN70" s="11"/>
      <c r="BO70" s="11"/>
      <c r="BP70" s="11"/>
      <c r="BQ70" s="11"/>
      <c r="BR70" s="11"/>
    </row>
    <row r="71" spans="2:70" x14ac:dyDescent="0.2">
      <c r="B71" s="10"/>
      <c r="C71" s="10"/>
      <c r="D71" s="10"/>
      <c r="E71" s="11"/>
      <c r="F71" s="11"/>
      <c r="G71" s="11"/>
      <c r="H71" s="11"/>
      <c r="I71" s="11"/>
      <c r="J71" s="11"/>
      <c r="K71" s="11"/>
      <c r="L71" s="11"/>
      <c r="M71" s="11"/>
      <c r="N71" s="11"/>
      <c r="O71" s="11"/>
      <c r="P71" s="11"/>
      <c r="Q71" s="11"/>
      <c r="R71" s="11"/>
      <c r="S71" s="11"/>
      <c r="T71" s="11"/>
      <c r="U71" s="11"/>
      <c r="V71" s="11"/>
      <c r="W71" s="11"/>
      <c r="X71" s="11"/>
      <c r="Y71" s="11"/>
      <c r="Z71" s="11"/>
      <c r="AA71" s="11"/>
      <c r="AB71" s="11"/>
      <c r="AC71" s="11"/>
      <c r="AD71" s="11"/>
      <c r="AE71" s="11"/>
      <c r="AF71" s="11"/>
      <c r="AG71" s="11"/>
      <c r="AH71" s="11"/>
      <c r="AI71" s="11"/>
      <c r="AJ71" s="11"/>
      <c r="AK71" s="11"/>
      <c r="AL71" s="11"/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  <c r="AY71" s="11"/>
      <c r="AZ71" s="11"/>
      <c r="BA71" s="11"/>
      <c r="BB71" s="11"/>
      <c r="BC71" s="11"/>
      <c r="BD71" s="11"/>
      <c r="BE71" s="11"/>
      <c r="BF71" s="11"/>
      <c r="BG71" s="11"/>
      <c r="BH71" s="11"/>
      <c r="BI71" s="11"/>
      <c r="BJ71" s="11"/>
      <c r="BK71" s="11"/>
      <c r="BL71" s="11"/>
      <c r="BM71" s="11"/>
      <c r="BN71" s="11"/>
      <c r="BO71" s="11"/>
      <c r="BP71" s="11"/>
      <c r="BQ71" s="11"/>
      <c r="BR71" s="11"/>
    </row>
    <row r="72" spans="2:70" x14ac:dyDescent="0.2">
      <c r="B72" s="10"/>
      <c r="C72" s="10"/>
      <c r="D72" s="10"/>
      <c r="E72" s="11"/>
      <c r="F72" s="11"/>
      <c r="G72" s="11"/>
      <c r="H72" s="11"/>
      <c r="I72" s="11"/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11"/>
      <c r="V72" s="11"/>
      <c r="W72" s="11"/>
      <c r="X72" s="11"/>
      <c r="Y72" s="11"/>
      <c r="Z72" s="11"/>
      <c r="AA72" s="11"/>
      <c r="AB72" s="11"/>
      <c r="AC72" s="11"/>
      <c r="AD72" s="11"/>
      <c r="AE72" s="11"/>
      <c r="AF72" s="11"/>
      <c r="AG72" s="11"/>
      <c r="AH72" s="11"/>
      <c r="AI72" s="11"/>
      <c r="AJ72" s="11"/>
      <c r="AK72" s="11"/>
      <c r="AL72" s="11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  <c r="AY72" s="11"/>
      <c r="AZ72" s="11"/>
      <c r="BA72" s="11"/>
      <c r="BB72" s="11"/>
      <c r="BC72" s="11"/>
      <c r="BD72" s="11"/>
      <c r="BE72" s="11"/>
      <c r="BF72" s="11"/>
      <c r="BG72" s="11"/>
      <c r="BH72" s="11"/>
      <c r="BI72" s="11"/>
      <c r="BJ72" s="11"/>
      <c r="BK72" s="11"/>
      <c r="BL72" s="11"/>
      <c r="BM72" s="11"/>
      <c r="BN72" s="11"/>
      <c r="BO72" s="11"/>
      <c r="BP72" s="11"/>
      <c r="BQ72" s="11"/>
      <c r="BR72" s="11"/>
    </row>
    <row r="73" spans="2:70" x14ac:dyDescent="0.2">
      <c r="B73" s="10"/>
      <c r="C73" s="10"/>
      <c r="D73" s="10"/>
      <c r="E73" s="11"/>
      <c r="F73" s="11"/>
      <c r="G73" s="11"/>
      <c r="H73" s="11"/>
      <c r="I73" s="11"/>
      <c r="J73" s="11"/>
      <c r="K73" s="11"/>
      <c r="L73" s="11"/>
      <c r="M73" s="11"/>
      <c r="N73" s="11"/>
      <c r="O73" s="11"/>
      <c r="P73" s="11"/>
      <c r="Q73" s="11"/>
      <c r="R73" s="11"/>
      <c r="S73" s="11"/>
      <c r="T73" s="11"/>
      <c r="U73" s="11"/>
      <c r="V73" s="11"/>
      <c r="W73" s="11"/>
      <c r="X73" s="11"/>
      <c r="Y73" s="11"/>
      <c r="Z73" s="11"/>
      <c r="AA73" s="11"/>
      <c r="AB73" s="11"/>
      <c r="AC73" s="11"/>
      <c r="AD73" s="11"/>
      <c r="AE73" s="11"/>
      <c r="AF73" s="11"/>
      <c r="AG73" s="11"/>
      <c r="AH73" s="11"/>
      <c r="AI73" s="11"/>
      <c r="AJ73" s="11"/>
      <c r="AK73" s="11"/>
      <c r="AL73" s="11"/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  <c r="AY73" s="11"/>
      <c r="AZ73" s="11"/>
      <c r="BA73" s="11"/>
      <c r="BB73" s="11"/>
      <c r="BC73" s="11"/>
      <c r="BD73" s="11"/>
      <c r="BE73" s="11"/>
      <c r="BF73" s="11"/>
      <c r="BG73" s="11"/>
      <c r="BH73" s="11"/>
      <c r="BI73" s="11"/>
      <c r="BJ73" s="11"/>
      <c r="BK73" s="11"/>
      <c r="BL73" s="11"/>
      <c r="BM73" s="11"/>
      <c r="BN73" s="11"/>
      <c r="BO73" s="11"/>
      <c r="BP73" s="11"/>
      <c r="BQ73" s="11"/>
      <c r="BR73" s="11"/>
    </row>
    <row r="74" spans="2:70" x14ac:dyDescent="0.2">
      <c r="B74" s="10"/>
      <c r="C74" s="10"/>
      <c r="D74" s="10"/>
      <c r="E74" s="11"/>
      <c r="F74" s="11"/>
      <c r="G74" s="11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11"/>
      <c r="V74" s="11"/>
      <c r="W74" s="11"/>
      <c r="X74" s="11"/>
      <c r="Y74" s="11"/>
      <c r="Z74" s="11"/>
      <c r="AA74" s="11"/>
      <c r="AB74" s="11"/>
      <c r="AC74" s="11"/>
      <c r="AD74" s="11"/>
      <c r="AE74" s="11"/>
      <c r="AF74" s="11"/>
      <c r="AG74" s="11"/>
      <c r="AH74" s="11"/>
      <c r="AI74" s="11"/>
      <c r="AJ74" s="11"/>
      <c r="AK74" s="11"/>
      <c r="AL74" s="11"/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  <c r="AY74" s="11"/>
      <c r="AZ74" s="11"/>
      <c r="BA74" s="11"/>
      <c r="BB74" s="11"/>
      <c r="BC74" s="11"/>
      <c r="BD74" s="11"/>
      <c r="BE74" s="11"/>
      <c r="BF74" s="11"/>
      <c r="BG74" s="11"/>
      <c r="BH74" s="11"/>
      <c r="BI74" s="11"/>
      <c r="BJ74" s="11"/>
      <c r="BK74" s="11"/>
      <c r="BL74" s="11"/>
      <c r="BM74" s="11"/>
      <c r="BN74" s="11"/>
      <c r="BO74" s="11"/>
      <c r="BP74" s="11"/>
      <c r="BQ74" s="11"/>
      <c r="BR74" s="11"/>
    </row>
    <row r="75" spans="2:70" x14ac:dyDescent="0.2">
      <c r="B75" s="10"/>
      <c r="C75" s="10"/>
      <c r="D75" s="10"/>
      <c r="E75" s="11"/>
      <c r="F75" s="11"/>
      <c r="G75" s="11"/>
      <c r="H75" s="11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11"/>
      <c r="V75" s="11"/>
      <c r="W75" s="11"/>
      <c r="X75" s="11"/>
      <c r="Y75" s="11"/>
      <c r="Z75" s="11"/>
      <c r="AA75" s="11"/>
      <c r="AB75" s="11"/>
      <c r="AC75" s="11"/>
      <c r="AD75" s="11"/>
      <c r="AE75" s="11"/>
      <c r="AF75" s="11"/>
      <c r="AG75" s="11"/>
      <c r="AH75" s="11"/>
      <c r="AI75" s="11"/>
      <c r="AJ75" s="11"/>
      <c r="AK75" s="11"/>
      <c r="AL75" s="11"/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  <c r="AY75" s="11"/>
      <c r="AZ75" s="11"/>
      <c r="BA75" s="11"/>
      <c r="BB75" s="11"/>
      <c r="BC75" s="11"/>
      <c r="BD75" s="11"/>
      <c r="BE75" s="11"/>
      <c r="BF75" s="11"/>
      <c r="BG75" s="11"/>
      <c r="BH75" s="11"/>
      <c r="BI75" s="11"/>
      <c r="BJ75" s="11"/>
      <c r="BK75" s="11"/>
      <c r="BL75" s="11"/>
      <c r="BM75" s="11"/>
      <c r="BN75" s="11"/>
      <c r="BO75" s="11"/>
      <c r="BP75" s="11"/>
      <c r="BQ75" s="11"/>
      <c r="BR75" s="11"/>
    </row>
    <row r="76" spans="2:70" x14ac:dyDescent="0.2">
      <c r="B76" s="10"/>
      <c r="C76" s="10"/>
      <c r="D76" s="10"/>
      <c r="E76" s="11"/>
      <c r="F76" s="11"/>
      <c r="G76" s="11"/>
      <c r="H76" s="11"/>
      <c r="I76" s="11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11"/>
      <c r="V76" s="11"/>
      <c r="W76" s="11"/>
      <c r="X76" s="11"/>
      <c r="Y76" s="11"/>
      <c r="Z76" s="11"/>
      <c r="AA76" s="11"/>
      <c r="AB76" s="11"/>
      <c r="AC76" s="11"/>
      <c r="AD76" s="11"/>
      <c r="AE76" s="11"/>
      <c r="AF76" s="11"/>
      <c r="AG76" s="11"/>
      <c r="AH76" s="11"/>
      <c r="AI76" s="11"/>
      <c r="AJ76" s="11"/>
      <c r="AK76" s="11"/>
      <c r="AL76" s="11"/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  <c r="AY76" s="11"/>
      <c r="AZ76" s="11"/>
      <c r="BA76" s="11"/>
      <c r="BB76" s="11"/>
      <c r="BC76" s="11"/>
      <c r="BD76" s="11"/>
      <c r="BE76" s="11"/>
      <c r="BF76" s="11"/>
      <c r="BG76" s="11"/>
      <c r="BH76" s="11"/>
      <c r="BI76" s="11"/>
      <c r="BJ76" s="11"/>
      <c r="BK76" s="11"/>
      <c r="BL76" s="11"/>
      <c r="BM76" s="11"/>
      <c r="BN76" s="11"/>
      <c r="BO76" s="11"/>
      <c r="BP76" s="11"/>
      <c r="BQ76" s="11"/>
      <c r="BR76" s="11"/>
    </row>
    <row r="77" spans="2:70" x14ac:dyDescent="0.2">
      <c r="B77" s="10"/>
      <c r="C77" s="10"/>
      <c r="D77" s="10"/>
      <c r="E77" s="11"/>
      <c r="F77" s="11"/>
      <c r="G77" s="11"/>
      <c r="H77" s="11"/>
      <c r="I77" s="11"/>
      <c r="J77" s="11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11"/>
      <c r="V77" s="11"/>
      <c r="W77" s="11"/>
      <c r="X77" s="11"/>
      <c r="Y77" s="11"/>
      <c r="Z77" s="11"/>
      <c r="AA77" s="11"/>
      <c r="AB77" s="11"/>
      <c r="AC77" s="11"/>
      <c r="AD77" s="11"/>
      <c r="AE77" s="11"/>
      <c r="AF77" s="11"/>
      <c r="AG77" s="11"/>
      <c r="AH77" s="11"/>
      <c r="AI77" s="11"/>
      <c r="AJ77" s="11"/>
      <c r="AK77" s="11"/>
      <c r="AL77" s="11"/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  <c r="AY77" s="11"/>
      <c r="AZ77" s="11"/>
      <c r="BA77" s="11"/>
      <c r="BB77" s="11"/>
      <c r="BC77" s="11"/>
      <c r="BD77" s="11"/>
      <c r="BE77" s="11"/>
      <c r="BF77" s="11"/>
      <c r="BG77" s="11"/>
      <c r="BH77" s="11"/>
      <c r="BI77" s="11"/>
      <c r="BJ77" s="11"/>
      <c r="BK77" s="11"/>
      <c r="BL77" s="11"/>
      <c r="BM77" s="11"/>
      <c r="BN77" s="11"/>
      <c r="BO77" s="11"/>
      <c r="BP77" s="11"/>
      <c r="BQ77" s="11"/>
      <c r="BR77" s="11"/>
    </row>
    <row r="78" spans="2:70" x14ac:dyDescent="0.2">
      <c r="B78" s="10"/>
      <c r="C78" s="10"/>
      <c r="D78" s="10"/>
      <c r="E78" s="11"/>
      <c r="F78" s="11"/>
      <c r="G78" s="11"/>
      <c r="H78" s="11"/>
      <c r="I78" s="11"/>
      <c r="J78" s="11"/>
      <c r="K78" s="11"/>
      <c r="L78" s="11"/>
      <c r="M78" s="11"/>
      <c r="N78" s="11"/>
      <c r="O78" s="11"/>
      <c r="P78" s="11"/>
      <c r="Q78" s="11"/>
      <c r="R78" s="11"/>
      <c r="S78" s="11"/>
      <c r="T78" s="11"/>
      <c r="U78" s="11"/>
      <c r="V78" s="11"/>
      <c r="W78" s="11"/>
      <c r="X78" s="11"/>
      <c r="Y78" s="11"/>
      <c r="Z78" s="11"/>
      <c r="AA78" s="11"/>
      <c r="AB78" s="11"/>
      <c r="AC78" s="11"/>
      <c r="AD78" s="11"/>
      <c r="AE78" s="11"/>
      <c r="AF78" s="11"/>
      <c r="AG78" s="11"/>
      <c r="AH78" s="11"/>
      <c r="AI78" s="11"/>
      <c r="AJ78" s="11"/>
      <c r="AK78" s="11"/>
      <c r="AL78" s="11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  <c r="AY78" s="11"/>
      <c r="AZ78" s="11"/>
      <c r="BA78" s="11"/>
      <c r="BB78" s="11"/>
      <c r="BC78" s="11"/>
      <c r="BD78" s="11"/>
      <c r="BE78" s="11"/>
      <c r="BF78" s="11"/>
      <c r="BG78" s="11"/>
      <c r="BH78" s="11"/>
      <c r="BI78" s="11"/>
      <c r="BJ78" s="11"/>
      <c r="BK78" s="11"/>
      <c r="BL78" s="11"/>
      <c r="BM78" s="11"/>
      <c r="BN78" s="11"/>
      <c r="BO78" s="11"/>
      <c r="BP78" s="11"/>
      <c r="BQ78" s="11"/>
      <c r="BR78" s="11"/>
    </row>
    <row r="79" spans="2:70" x14ac:dyDescent="0.2">
      <c r="B79" s="10"/>
      <c r="C79" s="10"/>
      <c r="D79" s="10"/>
      <c r="E79" s="11"/>
      <c r="F79" s="11"/>
      <c r="G79" s="11"/>
      <c r="H79" s="11"/>
      <c r="I79" s="11"/>
      <c r="J79" s="11"/>
      <c r="K79" s="11"/>
      <c r="L79" s="11"/>
      <c r="M79" s="11"/>
      <c r="N79" s="11"/>
      <c r="O79" s="11"/>
      <c r="P79" s="11"/>
      <c r="Q79" s="11"/>
      <c r="R79" s="11"/>
      <c r="S79" s="11"/>
      <c r="T79" s="11"/>
      <c r="U79" s="11"/>
      <c r="V79" s="11"/>
      <c r="W79" s="11"/>
      <c r="X79" s="11"/>
      <c r="Y79" s="11"/>
      <c r="Z79" s="11"/>
      <c r="AA79" s="11"/>
      <c r="AB79" s="11"/>
      <c r="AC79" s="11"/>
      <c r="AD79" s="11"/>
      <c r="AE79" s="11"/>
      <c r="AF79" s="11"/>
      <c r="AG79" s="11"/>
      <c r="AH79" s="11"/>
      <c r="AI79" s="11"/>
      <c r="AJ79" s="11"/>
      <c r="AK79" s="11"/>
      <c r="AL79" s="11"/>
      <c r="AM79" s="11"/>
      <c r="AN79" s="11"/>
      <c r="AO79" s="11"/>
      <c r="AP79" s="11"/>
      <c r="AQ79" s="11"/>
      <c r="AR79" s="11"/>
      <c r="AS79" s="11"/>
      <c r="AT79" s="11"/>
      <c r="AU79" s="11"/>
      <c r="AV79" s="11"/>
      <c r="AW79" s="11"/>
      <c r="AX79" s="11"/>
      <c r="AY79" s="11"/>
      <c r="AZ79" s="11"/>
      <c r="BA79" s="11"/>
      <c r="BB79" s="11"/>
      <c r="BC79" s="11"/>
      <c r="BD79" s="11"/>
      <c r="BE79" s="11"/>
      <c r="BF79" s="11"/>
      <c r="BG79" s="11"/>
      <c r="BH79" s="11"/>
      <c r="BI79" s="11"/>
      <c r="BJ79" s="11"/>
      <c r="BK79" s="11"/>
      <c r="BL79" s="11"/>
      <c r="BM79" s="11"/>
      <c r="BN79" s="11"/>
      <c r="BO79" s="11"/>
      <c r="BP79" s="11"/>
      <c r="BQ79" s="11"/>
      <c r="BR79" s="11"/>
    </row>
    <row r="80" spans="2:70" x14ac:dyDescent="0.2">
      <c r="B80" s="10"/>
      <c r="C80" s="10"/>
      <c r="D80" s="10"/>
      <c r="E80" s="11"/>
      <c r="F80" s="11"/>
      <c r="G80" s="11"/>
      <c r="H80" s="11"/>
      <c r="I80" s="11"/>
      <c r="J80" s="11"/>
      <c r="K80" s="11"/>
      <c r="L80" s="11"/>
      <c r="M80" s="11"/>
      <c r="N80" s="11"/>
      <c r="O80" s="11"/>
      <c r="P80" s="11"/>
      <c r="Q80" s="11"/>
      <c r="R80" s="11"/>
      <c r="S80" s="11"/>
      <c r="T80" s="11"/>
      <c r="U80" s="11"/>
      <c r="V80" s="11"/>
      <c r="W80" s="11"/>
      <c r="X80" s="11"/>
      <c r="Y80" s="11"/>
      <c r="Z80" s="11"/>
      <c r="AA80" s="11"/>
      <c r="AB80" s="11"/>
      <c r="AC80" s="11"/>
      <c r="AD80" s="11"/>
      <c r="AE80" s="11"/>
      <c r="AF80" s="11"/>
      <c r="AG80" s="11"/>
      <c r="AH80" s="11"/>
      <c r="AI80" s="11"/>
      <c r="AJ80" s="11"/>
      <c r="AK80" s="11"/>
      <c r="AL80" s="11"/>
      <c r="AM80" s="11"/>
      <c r="AN80" s="11"/>
      <c r="AO80" s="11"/>
      <c r="AP80" s="11"/>
      <c r="AQ80" s="11"/>
      <c r="AR80" s="11"/>
      <c r="AS80" s="11"/>
      <c r="AT80" s="11"/>
      <c r="AU80" s="11"/>
      <c r="AV80" s="11"/>
      <c r="AW80" s="11"/>
      <c r="AX80" s="11"/>
      <c r="AY80" s="11"/>
      <c r="AZ80" s="11"/>
      <c r="BA80" s="11"/>
      <c r="BB80" s="11"/>
      <c r="BC80" s="11"/>
      <c r="BD80" s="11"/>
      <c r="BE80" s="11"/>
      <c r="BF80" s="11"/>
      <c r="BG80" s="11"/>
      <c r="BH80" s="11"/>
      <c r="BI80" s="11"/>
      <c r="BJ80" s="11"/>
      <c r="BK80" s="11"/>
      <c r="BL80" s="11"/>
      <c r="BM80" s="11"/>
      <c r="BN80" s="11"/>
      <c r="BO80" s="11"/>
      <c r="BP80" s="11"/>
      <c r="BQ80" s="11"/>
      <c r="BR80" s="11"/>
    </row>
    <row r="81" spans="2:70" x14ac:dyDescent="0.2">
      <c r="B81" s="10"/>
      <c r="C81" s="10"/>
      <c r="D81" s="10"/>
      <c r="E81" s="11"/>
      <c r="F81" s="11"/>
      <c r="G81" s="11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11"/>
      <c r="V81" s="11"/>
      <c r="W81" s="11"/>
      <c r="X81" s="11"/>
      <c r="Y81" s="11"/>
      <c r="Z81" s="11"/>
      <c r="AA81" s="11"/>
      <c r="AB81" s="11"/>
      <c r="AC81" s="11"/>
      <c r="AD81" s="11"/>
      <c r="AE81" s="11"/>
      <c r="AF81" s="11"/>
      <c r="AG81" s="11"/>
      <c r="AH81" s="11"/>
      <c r="AI81" s="11"/>
      <c r="AJ81" s="11"/>
      <c r="AK81" s="11"/>
      <c r="AL81" s="11"/>
      <c r="AM81" s="11"/>
      <c r="AN81" s="11"/>
      <c r="AO81" s="11"/>
      <c r="AP81" s="11"/>
      <c r="AQ81" s="11"/>
      <c r="AR81" s="11"/>
      <c r="AS81" s="11"/>
      <c r="AT81" s="11"/>
      <c r="AU81" s="11"/>
      <c r="AV81" s="11"/>
      <c r="AW81" s="11"/>
      <c r="AX81" s="11"/>
      <c r="AY81" s="11"/>
      <c r="AZ81" s="11"/>
      <c r="BA81" s="11"/>
      <c r="BB81" s="11"/>
      <c r="BC81" s="11"/>
      <c r="BD81" s="11"/>
      <c r="BE81" s="11"/>
      <c r="BF81" s="11"/>
      <c r="BG81" s="11"/>
      <c r="BH81" s="11"/>
      <c r="BI81" s="11"/>
      <c r="BJ81" s="11"/>
      <c r="BK81" s="11"/>
      <c r="BL81" s="11"/>
      <c r="BM81" s="11"/>
      <c r="BN81" s="11"/>
      <c r="BO81" s="11"/>
      <c r="BP81" s="11"/>
      <c r="BQ81" s="11"/>
      <c r="BR81" s="11"/>
    </row>
    <row r="82" spans="2:70" x14ac:dyDescent="0.2">
      <c r="B82" s="10"/>
      <c r="C82" s="10"/>
      <c r="D82" s="10"/>
      <c r="E82" s="11"/>
      <c r="F82" s="11"/>
      <c r="G82" s="11"/>
      <c r="H82" s="11"/>
      <c r="I82" s="11"/>
      <c r="J82" s="11"/>
      <c r="K82" s="11"/>
      <c r="L82" s="11"/>
      <c r="M82" s="11"/>
      <c r="N82" s="11"/>
      <c r="O82" s="11"/>
      <c r="P82" s="11"/>
      <c r="Q82" s="11"/>
      <c r="R82" s="11"/>
      <c r="S82" s="11"/>
      <c r="T82" s="11"/>
      <c r="U82" s="11"/>
      <c r="V82" s="11"/>
      <c r="W82" s="11"/>
      <c r="X82" s="11"/>
      <c r="Y82" s="11"/>
      <c r="Z82" s="11"/>
      <c r="AA82" s="11"/>
      <c r="AB82" s="11"/>
      <c r="AC82" s="11"/>
      <c r="AD82" s="11"/>
      <c r="AE82" s="11"/>
      <c r="AF82" s="11"/>
      <c r="AG82" s="11"/>
      <c r="AH82" s="11"/>
      <c r="AI82" s="11"/>
      <c r="AJ82" s="11"/>
      <c r="AK82" s="11"/>
      <c r="AL82" s="11"/>
      <c r="AM82" s="11"/>
      <c r="AN82" s="11"/>
      <c r="AO82" s="11"/>
      <c r="AP82" s="11"/>
      <c r="AQ82" s="11"/>
      <c r="AR82" s="11"/>
      <c r="AS82" s="11"/>
      <c r="AT82" s="11"/>
      <c r="AU82" s="11"/>
      <c r="AV82" s="11"/>
      <c r="AW82" s="11"/>
      <c r="AX82" s="11"/>
      <c r="AY82" s="11"/>
      <c r="AZ82" s="11"/>
      <c r="BA82" s="11"/>
      <c r="BB82" s="11"/>
      <c r="BC82" s="11"/>
      <c r="BD82" s="11"/>
      <c r="BE82" s="11"/>
      <c r="BF82" s="11"/>
      <c r="BG82" s="11"/>
      <c r="BH82" s="11"/>
      <c r="BI82" s="11"/>
      <c r="BJ82" s="11"/>
      <c r="BK82" s="11"/>
      <c r="BL82" s="11"/>
      <c r="BM82" s="11"/>
      <c r="BN82" s="11"/>
      <c r="BO82" s="11"/>
      <c r="BP82" s="11"/>
      <c r="BQ82" s="11"/>
      <c r="BR82" s="11"/>
    </row>
    <row r="83" spans="2:70" x14ac:dyDescent="0.2">
      <c r="B83" s="10"/>
      <c r="C83" s="10"/>
      <c r="D83" s="10"/>
      <c r="E83" s="11"/>
      <c r="F83" s="11"/>
      <c r="G83" s="11"/>
      <c r="H83" s="11"/>
      <c r="I83" s="11"/>
      <c r="J83" s="11"/>
      <c r="K83" s="11"/>
      <c r="L83" s="11"/>
      <c r="M83" s="11"/>
      <c r="N83" s="11"/>
      <c r="O83" s="11"/>
      <c r="P83" s="11"/>
      <c r="Q83" s="11"/>
      <c r="R83" s="11"/>
      <c r="S83" s="11"/>
      <c r="T83" s="11"/>
      <c r="U83" s="11"/>
      <c r="V83" s="11"/>
      <c r="W83" s="11"/>
      <c r="X83" s="11"/>
      <c r="Y83" s="11"/>
      <c r="Z83" s="11"/>
      <c r="AA83" s="11"/>
      <c r="AB83" s="11"/>
      <c r="AC83" s="11"/>
      <c r="AD83" s="11"/>
      <c r="AE83" s="11"/>
      <c r="AF83" s="11"/>
      <c r="AG83" s="11"/>
      <c r="AH83" s="11"/>
      <c r="AI83" s="11"/>
      <c r="AJ83" s="11"/>
      <c r="AK83" s="11"/>
      <c r="AL83" s="11"/>
      <c r="AM83" s="11"/>
      <c r="AN83" s="11"/>
      <c r="AO83" s="11"/>
      <c r="AP83" s="11"/>
      <c r="AQ83" s="11"/>
      <c r="AR83" s="11"/>
      <c r="AS83" s="11"/>
      <c r="AT83" s="11"/>
      <c r="AU83" s="11"/>
      <c r="AV83" s="11"/>
      <c r="AW83" s="11"/>
      <c r="AX83" s="11"/>
      <c r="AY83" s="11"/>
      <c r="AZ83" s="11"/>
      <c r="BA83" s="11"/>
      <c r="BB83" s="11"/>
      <c r="BC83" s="11"/>
      <c r="BD83" s="11"/>
      <c r="BE83" s="11"/>
      <c r="BF83" s="11"/>
      <c r="BG83" s="11"/>
      <c r="BH83" s="11"/>
      <c r="BI83" s="11"/>
      <c r="BJ83" s="11"/>
      <c r="BK83" s="11"/>
      <c r="BL83" s="11"/>
      <c r="BM83" s="11"/>
      <c r="BN83" s="11"/>
      <c r="BO83" s="11"/>
      <c r="BP83" s="11"/>
      <c r="BQ83" s="11"/>
      <c r="BR83" s="11"/>
    </row>
    <row r="84" spans="2:70" x14ac:dyDescent="0.2">
      <c r="B84" s="10"/>
      <c r="C84" s="10"/>
      <c r="D84" s="10"/>
      <c r="E84" s="11"/>
      <c r="F84" s="11"/>
      <c r="G84" s="11"/>
      <c r="H84" s="11"/>
      <c r="I84" s="11"/>
      <c r="J84" s="11"/>
      <c r="K84" s="11"/>
      <c r="L84" s="11"/>
      <c r="M84" s="11"/>
      <c r="N84" s="11"/>
      <c r="O84" s="11"/>
      <c r="P84" s="11"/>
      <c r="Q84" s="11"/>
      <c r="R84" s="11"/>
      <c r="S84" s="11"/>
      <c r="T84" s="11"/>
      <c r="U84" s="11"/>
      <c r="V84" s="11"/>
      <c r="W84" s="11"/>
      <c r="X84" s="11"/>
      <c r="Y84" s="11"/>
      <c r="Z84" s="11"/>
      <c r="AA84" s="11"/>
      <c r="AB84" s="11"/>
      <c r="AC84" s="11"/>
      <c r="AD84" s="11"/>
      <c r="AE84" s="11"/>
      <c r="AF84" s="11"/>
      <c r="AG84" s="11"/>
      <c r="AH84" s="11"/>
      <c r="AI84" s="11"/>
      <c r="AJ84" s="11"/>
      <c r="AK84" s="11"/>
      <c r="AL84" s="11"/>
      <c r="AM84" s="11"/>
      <c r="AN84" s="11"/>
      <c r="AO84" s="11"/>
      <c r="AP84" s="11"/>
      <c r="AQ84" s="11"/>
      <c r="AR84" s="11"/>
      <c r="AS84" s="11"/>
      <c r="AT84" s="11"/>
      <c r="AU84" s="11"/>
      <c r="AV84" s="11"/>
      <c r="AW84" s="11"/>
      <c r="AX84" s="11"/>
      <c r="AY84" s="11"/>
      <c r="AZ84" s="11"/>
      <c r="BA84" s="11"/>
      <c r="BB84" s="11"/>
      <c r="BC84" s="11"/>
      <c r="BD84" s="11"/>
      <c r="BE84" s="11"/>
      <c r="BF84" s="11"/>
      <c r="BG84" s="11"/>
      <c r="BH84" s="11"/>
      <c r="BI84" s="11"/>
      <c r="BJ84" s="11"/>
      <c r="BK84" s="11"/>
      <c r="BL84" s="11"/>
      <c r="BM84" s="11"/>
      <c r="BN84" s="11"/>
      <c r="BO84" s="11"/>
      <c r="BP84" s="11"/>
      <c r="BQ84" s="11"/>
      <c r="BR84" s="11"/>
    </row>
    <row r="85" spans="2:70" x14ac:dyDescent="0.2">
      <c r="B85" s="10"/>
      <c r="C85" s="10"/>
      <c r="D85" s="10"/>
      <c r="E85" s="11"/>
      <c r="F85" s="11"/>
      <c r="G85" s="11"/>
      <c r="H85" s="11"/>
      <c r="I85" s="11"/>
      <c r="J85" s="11"/>
      <c r="K85" s="11"/>
      <c r="L85" s="11"/>
      <c r="M85" s="11"/>
      <c r="N85" s="11"/>
      <c r="O85" s="11"/>
      <c r="P85" s="11"/>
      <c r="Q85" s="11"/>
      <c r="R85" s="11"/>
      <c r="S85" s="11"/>
      <c r="T85" s="11"/>
      <c r="U85" s="11"/>
      <c r="V85" s="11"/>
      <c r="W85" s="11"/>
      <c r="X85" s="11"/>
      <c r="Y85" s="11"/>
      <c r="Z85" s="11"/>
      <c r="AA85" s="11"/>
      <c r="AB85" s="11"/>
      <c r="AC85" s="11"/>
      <c r="AD85" s="11"/>
      <c r="AE85" s="11"/>
      <c r="AF85" s="11"/>
      <c r="AG85" s="11"/>
      <c r="AH85" s="11"/>
      <c r="AI85" s="11"/>
      <c r="AJ85" s="11"/>
      <c r="AK85" s="11"/>
      <c r="AL85" s="11"/>
      <c r="AM85" s="11"/>
      <c r="AN85" s="11"/>
      <c r="AO85" s="11"/>
      <c r="AP85" s="11"/>
      <c r="AQ85" s="11"/>
      <c r="AR85" s="11"/>
      <c r="AS85" s="11"/>
      <c r="AT85" s="11"/>
      <c r="AU85" s="11"/>
      <c r="AV85" s="11"/>
      <c r="AW85" s="11"/>
      <c r="AX85" s="11"/>
      <c r="AY85" s="11"/>
      <c r="AZ85" s="11"/>
      <c r="BA85" s="11"/>
      <c r="BB85" s="11"/>
      <c r="BC85" s="11"/>
      <c r="BD85" s="11"/>
      <c r="BE85" s="11"/>
      <c r="BF85" s="11"/>
      <c r="BG85" s="11"/>
      <c r="BH85" s="11"/>
      <c r="BI85" s="11"/>
      <c r="BJ85" s="11"/>
      <c r="BK85" s="11"/>
      <c r="BL85" s="11"/>
      <c r="BM85" s="11"/>
      <c r="BN85" s="11"/>
      <c r="BO85" s="11"/>
      <c r="BP85" s="11"/>
      <c r="BQ85" s="11"/>
      <c r="BR85" s="11"/>
    </row>
    <row r="86" spans="2:70" x14ac:dyDescent="0.2">
      <c r="B86" s="10"/>
      <c r="C86" s="10"/>
      <c r="D86" s="10"/>
      <c r="E86" s="11"/>
      <c r="F86" s="11"/>
      <c r="G86" s="11"/>
      <c r="H86" s="11"/>
      <c r="I86" s="11"/>
      <c r="J86" s="11"/>
      <c r="K86" s="11"/>
      <c r="L86" s="11"/>
      <c r="M86" s="11"/>
      <c r="N86" s="11"/>
      <c r="O86" s="11"/>
      <c r="P86" s="11"/>
      <c r="Q86" s="11"/>
      <c r="R86" s="11"/>
      <c r="S86" s="11"/>
      <c r="T86" s="11"/>
      <c r="U86" s="11"/>
      <c r="V86" s="11"/>
      <c r="W86" s="11"/>
      <c r="X86" s="11"/>
      <c r="Y86" s="11"/>
      <c r="Z86" s="11"/>
      <c r="AA86" s="11"/>
      <c r="AB86" s="11"/>
      <c r="AC86" s="11"/>
      <c r="AD86" s="11"/>
      <c r="AE86" s="11"/>
      <c r="AF86" s="11"/>
      <c r="AG86" s="11"/>
      <c r="AH86" s="11"/>
      <c r="AI86" s="11"/>
      <c r="AJ86" s="11"/>
      <c r="AK86" s="11"/>
      <c r="AL86" s="11"/>
      <c r="AM86" s="11"/>
      <c r="AN86" s="11"/>
      <c r="AO86" s="11"/>
      <c r="AP86" s="11"/>
      <c r="AQ86" s="11"/>
      <c r="AR86" s="11"/>
      <c r="AS86" s="11"/>
      <c r="AT86" s="11"/>
      <c r="AU86" s="11"/>
      <c r="AV86" s="11"/>
      <c r="AW86" s="11"/>
      <c r="AX86" s="11"/>
      <c r="AY86" s="11"/>
      <c r="AZ86" s="11"/>
      <c r="BA86" s="11"/>
      <c r="BB86" s="11"/>
      <c r="BC86" s="11"/>
      <c r="BD86" s="11"/>
      <c r="BE86" s="11"/>
      <c r="BF86" s="11"/>
      <c r="BG86" s="11"/>
      <c r="BH86" s="11"/>
      <c r="BI86" s="11"/>
      <c r="BJ86" s="11"/>
      <c r="BK86" s="11"/>
      <c r="BL86" s="11"/>
      <c r="BM86" s="11"/>
      <c r="BN86" s="11"/>
      <c r="BO86" s="11"/>
      <c r="BP86" s="11"/>
      <c r="BQ86" s="11"/>
      <c r="BR86" s="11"/>
    </row>
    <row r="87" spans="2:70" x14ac:dyDescent="0.2">
      <c r="B87" s="10"/>
      <c r="C87" s="10"/>
      <c r="D87" s="10"/>
      <c r="E87" s="11"/>
      <c r="F87" s="11"/>
      <c r="G87" s="11"/>
      <c r="H87" s="11"/>
      <c r="I87" s="11"/>
      <c r="J87" s="11"/>
      <c r="K87" s="11"/>
      <c r="L87" s="11"/>
      <c r="M87" s="11"/>
      <c r="N87" s="11"/>
      <c r="O87" s="11"/>
      <c r="P87" s="11"/>
      <c r="Q87" s="11"/>
      <c r="R87" s="11"/>
      <c r="S87" s="11"/>
      <c r="T87" s="11"/>
      <c r="U87" s="11"/>
      <c r="V87" s="11"/>
      <c r="W87" s="11"/>
      <c r="X87" s="11"/>
      <c r="Y87" s="11"/>
      <c r="Z87" s="11"/>
      <c r="AA87" s="11"/>
      <c r="AB87" s="11"/>
      <c r="AC87" s="11"/>
      <c r="AD87" s="11"/>
      <c r="AE87" s="11"/>
      <c r="AF87" s="11"/>
      <c r="AG87" s="11"/>
      <c r="AH87" s="11"/>
      <c r="AI87" s="11"/>
      <c r="AJ87" s="11"/>
      <c r="AK87" s="11"/>
      <c r="AL87" s="11"/>
      <c r="AM87" s="11"/>
      <c r="AN87" s="11"/>
      <c r="AO87" s="11"/>
      <c r="AP87" s="11"/>
      <c r="AQ87" s="11"/>
      <c r="AR87" s="11"/>
      <c r="AS87" s="11"/>
      <c r="AT87" s="11"/>
      <c r="AU87" s="11"/>
      <c r="AV87" s="11"/>
      <c r="AW87" s="11"/>
      <c r="AX87" s="11"/>
      <c r="AY87" s="11"/>
      <c r="AZ87" s="11"/>
      <c r="BA87" s="11"/>
      <c r="BB87" s="11"/>
      <c r="BC87" s="11"/>
      <c r="BD87" s="11"/>
      <c r="BE87" s="11"/>
      <c r="BF87" s="11"/>
      <c r="BG87" s="11"/>
      <c r="BH87" s="11"/>
      <c r="BI87" s="11"/>
      <c r="BJ87" s="11"/>
      <c r="BK87" s="11"/>
      <c r="BL87" s="11"/>
      <c r="BM87" s="11"/>
      <c r="BN87" s="11"/>
      <c r="BO87" s="11"/>
      <c r="BP87" s="11"/>
      <c r="BQ87" s="11"/>
      <c r="BR87" s="11"/>
    </row>
    <row r="88" spans="2:70" x14ac:dyDescent="0.2">
      <c r="B88" s="10"/>
      <c r="C88" s="10"/>
      <c r="D88" s="10"/>
      <c r="E88" s="11"/>
      <c r="F88" s="11"/>
      <c r="G88" s="11"/>
      <c r="H88" s="11"/>
      <c r="I88" s="11"/>
      <c r="J88" s="11"/>
      <c r="K88" s="11"/>
      <c r="L88" s="11"/>
      <c r="M88" s="11"/>
      <c r="N88" s="11"/>
      <c r="O88" s="11"/>
      <c r="P88" s="11"/>
      <c r="Q88" s="11"/>
      <c r="R88" s="11"/>
      <c r="S88" s="11"/>
      <c r="T88" s="11"/>
      <c r="U88" s="11"/>
      <c r="V88" s="11"/>
      <c r="W88" s="11"/>
      <c r="X88" s="11"/>
      <c r="Y88" s="11"/>
      <c r="Z88" s="11"/>
      <c r="AA88" s="11"/>
      <c r="AB88" s="11"/>
      <c r="AC88" s="11"/>
      <c r="AD88" s="11"/>
      <c r="AE88" s="11"/>
      <c r="AF88" s="11"/>
      <c r="AG88" s="11"/>
      <c r="AH88" s="11"/>
      <c r="AI88" s="11"/>
      <c r="AJ88" s="11"/>
      <c r="AK88" s="11"/>
      <c r="AL88" s="11"/>
      <c r="AM88" s="11"/>
      <c r="AN88" s="11"/>
      <c r="AO88" s="11"/>
      <c r="AP88" s="11"/>
      <c r="AQ88" s="11"/>
      <c r="AR88" s="11"/>
      <c r="AS88" s="11"/>
      <c r="AT88" s="11"/>
      <c r="AU88" s="11"/>
      <c r="AV88" s="11"/>
      <c r="AW88" s="11"/>
      <c r="AX88" s="11"/>
      <c r="AY88" s="11"/>
      <c r="AZ88" s="11"/>
      <c r="BA88" s="11"/>
      <c r="BB88" s="11"/>
      <c r="BC88" s="11"/>
      <c r="BD88" s="11"/>
      <c r="BE88" s="11"/>
      <c r="BF88" s="11"/>
      <c r="BG88" s="11"/>
      <c r="BH88" s="11"/>
      <c r="BI88" s="11"/>
      <c r="BJ88" s="11"/>
      <c r="BK88" s="11"/>
      <c r="BL88" s="11"/>
      <c r="BM88" s="11"/>
      <c r="BN88" s="11"/>
      <c r="BO88" s="11"/>
      <c r="BP88" s="11"/>
      <c r="BQ88" s="11"/>
      <c r="BR88" s="11"/>
    </row>
    <row r="89" spans="2:70" x14ac:dyDescent="0.2">
      <c r="B89" s="10"/>
      <c r="C89" s="10"/>
      <c r="D89" s="10"/>
      <c r="E89" s="11"/>
      <c r="F89" s="11"/>
      <c r="G89" s="11"/>
      <c r="H89" s="11"/>
      <c r="I89" s="11"/>
      <c r="J89" s="11"/>
      <c r="K89" s="11"/>
      <c r="L89" s="11"/>
      <c r="M89" s="11"/>
      <c r="N89" s="11"/>
      <c r="O89" s="11"/>
      <c r="P89" s="11"/>
      <c r="Q89" s="11"/>
      <c r="R89" s="11"/>
      <c r="S89" s="11"/>
      <c r="T89" s="11"/>
      <c r="U89" s="11"/>
      <c r="V89" s="11"/>
      <c r="W89" s="11"/>
      <c r="X89" s="11"/>
      <c r="Y89" s="11"/>
      <c r="Z89" s="11"/>
      <c r="AA89" s="11"/>
      <c r="AB89" s="11"/>
      <c r="AC89" s="11"/>
      <c r="AD89" s="11"/>
      <c r="AE89" s="11"/>
      <c r="AF89" s="11"/>
      <c r="AG89" s="11"/>
      <c r="AH89" s="11"/>
      <c r="AI89" s="11"/>
      <c r="AJ89" s="11"/>
      <c r="AK89" s="11"/>
      <c r="AL89" s="11"/>
      <c r="AM89" s="11"/>
      <c r="AN89" s="11"/>
      <c r="AO89" s="11"/>
      <c r="AP89" s="11"/>
      <c r="AQ89" s="11"/>
      <c r="AR89" s="11"/>
      <c r="AS89" s="11"/>
      <c r="AT89" s="11"/>
      <c r="AU89" s="11"/>
      <c r="AV89" s="11"/>
      <c r="AW89" s="11"/>
      <c r="AX89" s="11"/>
      <c r="AY89" s="11"/>
      <c r="AZ89" s="11"/>
      <c r="BA89" s="11"/>
      <c r="BB89" s="11"/>
      <c r="BC89" s="11"/>
      <c r="BD89" s="11"/>
      <c r="BE89" s="11"/>
      <c r="BF89" s="11"/>
      <c r="BG89" s="11"/>
      <c r="BH89" s="11"/>
      <c r="BI89" s="11"/>
      <c r="BJ89" s="11"/>
      <c r="BK89" s="11"/>
      <c r="BL89" s="11"/>
      <c r="BM89" s="11"/>
      <c r="BN89" s="11"/>
      <c r="BO89" s="11"/>
      <c r="BP89" s="11"/>
      <c r="BQ89" s="11"/>
      <c r="BR89" s="11"/>
    </row>
    <row r="90" spans="2:70" x14ac:dyDescent="0.2">
      <c r="B90" s="10"/>
      <c r="C90" s="10"/>
      <c r="D90" s="10"/>
      <c r="E90" s="11"/>
      <c r="F90" s="11"/>
      <c r="G90" s="11"/>
      <c r="H90" s="11"/>
      <c r="I90" s="11"/>
      <c r="J90" s="11"/>
      <c r="K90" s="11"/>
      <c r="L90" s="11"/>
      <c r="M90" s="11"/>
      <c r="N90" s="11"/>
      <c r="O90" s="11"/>
      <c r="P90" s="11"/>
      <c r="Q90" s="11"/>
      <c r="R90" s="11"/>
      <c r="S90" s="11"/>
      <c r="T90" s="11"/>
      <c r="U90" s="11"/>
      <c r="V90" s="11"/>
      <c r="W90" s="11"/>
      <c r="X90" s="11"/>
      <c r="Y90" s="11"/>
      <c r="Z90" s="11"/>
      <c r="AA90" s="11"/>
      <c r="AB90" s="11"/>
      <c r="AC90" s="11"/>
      <c r="AD90" s="11"/>
      <c r="AE90" s="11"/>
      <c r="AF90" s="11"/>
      <c r="AG90" s="11"/>
      <c r="AH90" s="11"/>
      <c r="AI90" s="11"/>
      <c r="AJ90" s="11"/>
      <c r="AK90" s="11"/>
      <c r="AL90" s="11"/>
      <c r="AM90" s="11"/>
      <c r="AN90" s="11"/>
      <c r="AO90" s="11"/>
      <c r="AP90" s="11"/>
      <c r="AQ90" s="11"/>
      <c r="AR90" s="11"/>
      <c r="AS90" s="11"/>
      <c r="AT90" s="11"/>
      <c r="AU90" s="11"/>
      <c r="AV90" s="11"/>
      <c r="AW90" s="11"/>
      <c r="AX90" s="11"/>
      <c r="AY90" s="11"/>
      <c r="AZ90" s="11"/>
      <c r="BA90" s="11"/>
      <c r="BB90" s="11"/>
      <c r="BC90" s="11"/>
      <c r="BD90" s="11"/>
      <c r="BE90" s="11"/>
      <c r="BF90" s="11"/>
      <c r="BG90" s="11"/>
      <c r="BH90" s="11"/>
      <c r="BI90" s="11"/>
      <c r="BJ90" s="11"/>
      <c r="BK90" s="11"/>
      <c r="BL90" s="11"/>
      <c r="BM90" s="11"/>
      <c r="BN90" s="11"/>
      <c r="BO90" s="11"/>
      <c r="BP90" s="11"/>
      <c r="BQ90" s="11"/>
      <c r="BR90" s="11"/>
    </row>
    <row r="91" spans="2:70" x14ac:dyDescent="0.2">
      <c r="B91" s="10"/>
      <c r="C91" s="10"/>
      <c r="D91" s="10"/>
      <c r="E91" s="11"/>
      <c r="F91" s="11"/>
      <c r="G91" s="11"/>
      <c r="H91" s="11"/>
      <c r="I91" s="11"/>
      <c r="J91" s="11"/>
      <c r="K91" s="11"/>
      <c r="L91" s="11"/>
      <c r="M91" s="11"/>
      <c r="N91" s="11"/>
      <c r="O91" s="11"/>
      <c r="P91" s="11"/>
      <c r="Q91" s="11"/>
      <c r="R91" s="11"/>
      <c r="S91" s="11"/>
      <c r="T91" s="11"/>
      <c r="U91" s="11"/>
      <c r="V91" s="11"/>
      <c r="W91" s="11"/>
      <c r="X91" s="11"/>
      <c r="Y91" s="11"/>
      <c r="Z91" s="11"/>
      <c r="AA91" s="11"/>
      <c r="AB91" s="11"/>
      <c r="AC91" s="11"/>
      <c r="AD91" s="11"/>
      <c r="AE91" s="11"/>
      <c r="AF91" s="11"/>
      <c r="AG91" s="11"/>
      <c r="AH91" s="11"/>
      <c r="AI91" s="11"/>
      <c r="AJ91" s="11"/>
      <c r="AK91" s="11"/>
      <c r="AL91" s="11"/>
      <c r="AM91" s="11"/>
      <c r="AN91" s="11"/>
      <c r="AO91" s="11"/>
      <c r="AP91" s="11"/>
      <c r="AQ91" s="11"/>
      <c r="AR91" s="11"/>
      <c r="AS91" s="11"/>
      <c r="AT91" s="11"/>
      <c r="AU91" s="11"/>
      <c r="AV91" s="11"/>
      <c r="AW91" s="11"/>
      <c r="AX91" s="11"/>
      <c r="AY91" s="11"/>
      <c r="AZ91" s="11"/>
      <c r="BA91" s="11"/>
      <c r="BB91" s="11"/>
      <c r="BC91" s="11"/>
      <c r="BD91" s="11"/>
      <c r="BE91" s="11"/>
      <c r="BF91" s="11"/>
      <c r="BG91" s="11"/>
      <c r="BH91" s="11"/>
      <c r="BI91" s="11"/>
      <c r="BJ91" s="11"/>
      <c r="BK91" s="11"/>
      <c r="BL91" s="11"/>
      <c r="BM91" s="11"/>
      <c r="BN91" s="11"/>
      <c r="BO91" s="11"/>
      <c r="BP91" s="11"/>
      <c r="BQ91" s="11"/>
      <c r="BR91" s="11"/>
    </row>
    <row r="92" spans="2:70" x14ac:dyDescent="0.2">
      <c r="B92" s="10"/>
      <c r="C92" s="10"/>
      <c r="D92" s="10"/>
      <c r="E92" s="11"/>
      <c r="F92" s="11"/>
      <c r="G92" s="11"/>
      <c r="H92" s="11"/>
      <c r="I92" s="11"/>
      <c r="J92" s="11"/>
      <c r="K92" s="11"/>
      <c r="L92" s="11"/>
      <c r="M92" s="11"/>
      <c r="N92" s="11"/>
      <c r="O92" s="11"/>
      <c r="P92" s="11"/>
      <c r="Q92" s="11"/>
      <c r="R92" s="11"/>
      <c r="S92" s="11"/>
      <c r="T92" s="11"/>
      <c r="U92" s="11"/>
      <c r="V92" s="11"/>
      <c r="W92" s="11"/>
      <c r="X92" s="11"/>
      <c r="Y92" s="11"/>
      <c r="Z92" s="11"/>
      <c r="AA92" s="11"/>
      <c r="AB92" s="11"/>
      <c r="AC92" s="11"/>
      <c r="AD92" s="11"/>
      <c r="AE92" s="11"/>
      <c r="AF92" s="11"/>
      <c r="AG92" s="11"/>
      <c r="AH92" s="11"/>
      <c r="AI92" s="11"/>
      <c r="AJ92" s="11"/>
      <c r="AK92" s="11"/>
      <c r="AL92" s="11"/>
      <c r="AM92" s="11"/>
      <c r="AN92" s="11"/>
      <c r="AO92" s="11"/>
      <c r="AP92" s="11"/>
      <c r="AQ92" s="11"/>
      <c r="AR92" s="11"/>
      <c r="AS92" s="11"/>
      <c r="AT92" s="11"/>
      <c r="AU92" s="11"/>
      <c r="AV92" s="11"/>
      <c r="AW92" s="11"/>
      <c r="AX92" s="11"/>
      <c r="AY92" s="11"/>
      <c r="AZ92" s="11"/>
      <c r="BA92" s="11"/>
      <c r="BB92" s="11"/>
      <c r="BC92" s="11"/>
      <c r="BD92" s="11"/>
      <c r="BE92" s="11"/>
      <c r="BF92" s="11"/>
      <c r="BG92" s="11"/>
      <c r="BH92" s="11"/>
      <c r="BI92" s="11"/>
      <c r="BJ92" s="11"/>
      <c r="BK92" s="11"/>
      <c r="BL92" s="11"/>
      <c r="BM92" s="11"/>
      <c r="BN92" s="11"/>
      <c r="BO92" s="11"/>
      <c r="BP92" s="11"/>
      <c r="BQ92" s="11"/>
      <c r="BR92" s="11"/>
    </row>
    <row r="93" spans="2:70" x14ac:dyDescent="0.2">
      <c r="B93" s="10"/>
      <c r="C93" s="10"/>
      <c r="D93" s="10"/>
      <c r="E93" s="11"/>
      <c r="F93" s="11"/>
      <c r="G93" s="11"/>
      <c r="H93" s="11"/>
      <c r="I93" s="11"/>
      <c r="J93" s="11"/>
      <c r="K93" s="11"/>
      <c r="L93" s="11"/>
      <c r="M93" s="11"/>
      <c r="N93" s="11"/>
      <c r="O93" s="11"/>
      <c r="P93" s="11"/>
      <c r="Q93" s="11"/>
      <c r="R93" s="11"/>
      <c r="S93" s="11"/>
      <c r="T93" s="11"/>
      <c r="U93" s="11"/>
      <c r="V93" s="11"/>
      <c r="W93" s="11"/>
      <c r="X93" s="11"/>
      <c r="Y93" s="11"/>
      <c r="Z93" s="11"/>
      <c r="AA93" s="11"/>
      <c r="AB93" s="11"/>
      <c r="AC93" s="11"/>
      <c r="AD93" s="11"/>
      <c r="AE93" s="11"/>
      <c r="AF93" s="11"/>
      <c r="AG93" s="11"/>
      <c r="AH93" s="11"/>
      <c r="AI93" s="11"/>
      <c r="AJ93" s="11"/>
      <c r="AK93" s="11"/>
      <c r="AL93" s="11"/>
      <c r="AM93" s="11"/>
      <c r="AN93" s="11"/>
      <c r="AO93" s="11"/>
      <c r="AP93" s="11"/>
      <c r="AQ93" s="11"/>
      <c r="AR93" s="11"/>
      <c r="AS93" s="11"/>
      <c r="AT93" s="11"/>
      <c r="AU93" s="11"/>
      <c r="AV93" s="11"/>
      <c r="AW93" s="11"/>
      <c r="AX93" s="11"/>
      <c r="AY93" s="11"/>
      <c r="AZ93" s="11"/>
      <c r="BA93" s="11"/>
      <c r="BB93" s="11"/>
      <c r="BC93" s="11"/>
      <c r="BD93" s="11"/>
      <c r="BE93" s="11"/>
      <c r="BF93" s="11"/>
      <c r="BG93" s="11"/>
      <c r="BH93" s="11"/>
      <c r="BI93" s="11"/>
      <c r="BJ93" s="11"/>
      <c r="BK93" s="11"/>
      <c r="BL93" s="11"/>
      <c r="BM93" s="11"/>
      <c r="BN93" s="11"/>
      <c r="BO93" s="11"/>
      <c r="BP93" s="11"/>
      <c r="BQ93" s="11"/>
      <c r="BR93" s="11"/>
    </row>
    <row r="94" spans="2:70" x14ac:dyDescent="0.2">
      <c r="B94" s="10"/>
      <c r="C94" s="10"/>
      <c r="D94" s="10"/>
      <c r="E94" s="11"/>
      <c r="F94" s="11"/>
      <c r="G94" s="11"/>
      <c r="H94" s="11"/>
      <c r="I94" s="11"/>
      <c r="J94" s="11"/>
      <c r="K94" s="11"/>
      <c r="L94" s="11"/>
      <c r="M94" s="11"/>
      <c r="N94" s="11"/>
      <c r="O94" s="11"/>
      <c r="P94" s="11"/>
      <c r="Q94" s="11"/>
      <c r="R94" s="11"/>
      <c r="S94" s="11"/>
      <c r="T94" s="11"/>
      <c r="U94" s="11"/>
      <c r="V94" s="11"/>
      <c r="W94" s="11"/>
      <c r="X94" s="11"/>
      <c r="Y94" s="11"/>
      <c r="Z94" s="11"/>
      <c r="AA94" s="11"/>
      <c r="AB94" s="11"/>
      <c r="AC94" s="11"/>
      <c r="AD94" s="11"/>
      <c r="AE94" s="11"/>
      <c r="AF94" s="11"/>
      <c r="AG94" s="11"/>
      <c r="AH94" s="11"/>
      <c r="AI94" s="11"/>
      <c r="AJ94" s="11"/>
      <c r="AK94" s="11"/>
      <c r="AL94" s="11"/>
      <c r="AM94" s="11"/>
      <c r="AN94" s="11"/>
      <c r="AO94" s="11"/>
      <c r="AP94" s="11"/>
      <c r="AQ94" s="11"/>
      <c r="AR94" s="11"/>
      <c r="AS94" s="11"/>
      <c r="AT94" s="11"/>
      <c r="AU94" s="11"/>
      <c r="AV94" s="11"/>
      <c r="AW94" s="11"/>
      <c r="AX94" s="11"/>
      <c r="AY94" s="11"/>
      <c r="AZ94" s="11"/>
      <c r="BA94" s="11"/>
      <c r="BB94" s="11"/>
      <c r="BC94" s="11"/>
      <c r="BD94" s="11"/>
      <c r="BE94" s="11"/>
      <c r="BF94" s="11"/>
      <c r="BG94" s="11"/>
      <c r="BH94" s="11"/>
      <c r="BI94" s="11"/>
      <c r="BJ94" s="11"/>
      <c r="BK94" s="11"/>
      <c r="BL94" s="11"/>
      <c r="BM94" s="11"/>
      <c r="BN94" s="11"/>
      <c r="BO94" s="11"/>
      <c r="BP94" s="11"/>
      <c r="BQ94" s="11"/>
      <c r="BR94" s="11"/>
    </row>
    <row r="95" spans="2:70" x14ac:dyDescent="0.2">
      <c r="B95" s="10"/>
      <c r="C95" s="10"/>
      <c r="D95" s="10"/>
      <c r="E95" s="11"/>
      <c r="F95" s="11"/>
      <c r="G95" s="11"/>
      <c r="H95" s="11"/>
      <c r="I95" s="11"/>
      <c r="J95" s="11"/>
      <c r="K95" s="11"/>
      <c r="L95" s="11"/>
      <c r="M95" s="11"/>
      <c r="N95" s="11"/>
      <c r="O95" s="11"/>
      <c r="P95" s="11"/>
      <c r="Q95" s="11"/>
      <c r="R95" s="11"/>
      <c r="S95" s="11"/>
      <c r="T95" s="11"/>
      <c r="U95" s="11"/>
      <c r="V95" s="11"/>
      <c r="W95" s="11"/>
      <c r="X95" s="11"/>
      <c r="Y95" s="11"/>
      <c r="Z95" s="11"/>
      <c r="AA95" s="11"/>
      <c r="AB95" s="11"/>
      <c r="AC95" s="11"/>
      <c r="AD95" s="11"/>
      <c r="AE95" s="11"/>
      <c r="AF95" s="11"/>
      <c r="AG95" s="11"/>
      <c r="AH95" s="11"/>
      <c r="AI95" s="11"/>
      <c r="AJ95" s="11"/>
      <c r="AK95" s="11"/>
      <c r="AL95" s="11"/>
      <c r="AM95" s="11"/>
      <c r="AN95" s="11"/>
      <c r="AO95" s="11"/>
      <c r="AP95" s="11"/>
      <c r="AQ95" s="11"/>
      <c r="AR95" s="11"/>
      <c r="AS95" s="11"/>
      <c r="AT95" s="11"/>
      <c r="AU95" s="11"/>
      <c r="AV95" s="11"/>
      <c r="AW95" s="11"/>
      <c r="AX95" s="11"/>
      <c r="AY95" s="11"/>
      <c r="AZ95" s="11"/>
      <c r="BA95" s="11"/>
      <c r="BB95" s="11"/>
      <c r="BC95" s="11"/>
      <c r="BD95" s="11"/>
      <c r="BE95" s="11"/>
      <c r="BF95" s="11"/>
      <c r="BG95" s="11"/>
      <c r="BH95" s="11"/>
      <c r="BI95" s="11"/>
      <c r="BJ95" s="11"/>
      <c r="BK95" s="11"/>
      <c r="BL95" s="11"/>
      <c r="BM95" s="11"/>
      <c r="BN95" s="11"/>
      <c r="BO95" s="11"/>
      <c r="BP95" s="11"/>
      <c r="BQ95" s="11"/>
      <c r="BR95" s="11"/>
    </row>
    <row r="96" spans="2:70" x14ac:dyDescent="0.2">
      <c r="B96" s="10"/>
      <c r="C96" s="10"/>
      <c r="D96" s="10"/>
      <c r="E96" s="11"/>
      <c r="F96" s="11"/>
      <c r="G96" s="11"/>
      <c r="H96" s="11"/>
      <c r="I96" s="11"/>
      <c r="J96" s="11"/>
      <c r="K96" s="11"/>
      <c r="L96" s="11"/>
      <c r="M96" s="11"/>
      <c r="N96" s="11"/>
      <c r="O96" s="11"/>
      <c r="P96" s="11"/>
      <c r="Q96" s="11"/>
      <c r="R96" s="11"/>
      <c r="S96" s="11"/>
      <c r="T96" s="11"/>
      <c r="U96" s="11"/>
      <c r="V96" s="11"/>
      <c r="W96" s="11"/>
      <c r="X96" s="11"/>
      <c r="Y96" s="11"/>
      <c r="Z96" s="11"/>
      <c r="AA96" s="11"/>
      <c r="AB96" s="11"/>
      <c r="AC96" s="11"/>
      <c r="AD96" s="11"/>
      <c r="AE96" s="11"/>
      <c r="AF96" s="11"/>
      <c r="AG96" s="11"/>
      <c r="AH96" s="11"/>
      <c r="AI96" s="11"/>
      <c r="AJ96" s="11"/>
      <c r="AK96" s="11"/>
      <c r="AL96" s="11"/>
      <c r="AM96" s="11"/>
      <c r="AN96" s="11"/>
      <c r="AO96" s="11"/>
      <c r="AP96" s="11"/>
      <c r="AQ96" s="11"/>
      <c r="AR96" s="11"/>
      <c r="AS96" s="11"/>
      <c r="AT96" s="11"/>
      <c r="AU96" s="11"/>
      <c r="AV96" s="11"/>
      <c r="AW96" s="11"/>
      <c r="AX96" s="11"/>
      <c r="AY96" s="11"/>
      <c r="AZ96" s="11"/>
      <c r="BA96" s="11"/>
      <c r="BB96" s="11"/>
      <c r="BC96" s="11"/>
      <c r="BD96" s="11"/>
      <c r="BE96" s="11"/>
      <c r="BF96" s="11"/>
      <c r="BG96" s="11"/>
      <c r="BH96" s="11"/>
      <c r="BI96" s="11"/>
      <c r="BJ96" s="11"/>
      <c r="BK96" s="11"/>
      <c r="BL96" s="11"/>
      <c r="BM96" s="11"/>
      <c r="BN96" s="11"/>
      <c r="BO96" s="11"/>
      <c r="BP96" s="11"/>
      <c r="BQ96" s="11"/>
      <c r="BR96" s="11"/>
    </row>
    <row r="97" spans="2:70" x14ac:dyDescent="0.2">
      <c r="B97" s="10"/>
      <c r="C97" s="10"/>
      <c r="D97" s="10"/>
      <c r="E97" s="11"/>
      <c r="F97" s="11"/>
      <c r="G97" s="11"/>
      <c r="H97" s="11"/>
      <c r="I97" s="11"/>
      <c r="J97" s="11"/>
      <c r="K97" s="11"/>
      <c r="L97" s="11"/>
      <c r="M97" s="11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  <c r="AL97" s="11"/>
      <c r="AM97" s="11"/>
      <c r="AN97" s="11"/>
      <c r="AO97" s="11"/>
      <c r="AP97" s="11"/>
      <c r="AQ97" s="11"/>
      <c r="AR97" s="11"/>
      <c r="AS97" s="11"/>
      <c r="AT97" s="11"/>
      <c r="AU97" s="11"/>
      <c r="AV97" s="11"/>
      <c r="AW97" s="11"/>
      <c r="AX97" s="11"/>
      <c r="AY97" s="11"/>
      <c r="AZ97" s="11"/>
      <c r="BA97" s="11"/>
      <c r="BB97" s="11"/>
      <c r="BC97" s="11"/>
      <c r="BD97" s="11"/>
      <c r="BE97" s="11"/>
      <c r="BF97" s="11"/>
      <c r="BG97" s="11"/>
      <c r="BH97" s="11"/>
      <c r="BI97" s="11"/>
      <c r="BJ97" s="11"/>
      <c r="BK97" s="11"/>
      <c r="BL97" s="11"/>
      <c r="BM97" s="11"/>
      <c r="BN97" s="11"/>
      <c r="BO97" s="11"/>
      <c r="BP97" s="11"/>
      <c r="BQ97" s="11"/>
      <c r="BR97" s="11"/>
    </row>
    <row r="98" spans="2:70" x14ac:dyDescent="0.2">
      <c r="B98" s="10"/>
      <c r="C98" s="10"/>
      <c r="D98" s="10"/>
      <c r="E98" s="11"/>
      <c r="F98" s="11"/>
      <c r="G98" s="11"/>
      <c r="H98" s="11"/>
      <c r="I98" s="11"/>
      <c r="J98" s="11"/>
      <c r="K98" s="11"/>
      <c r="L98" s="11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  <c r="AL98" s="11"/>
      <c r="AM98" s="11"/>
      <c r="AN98" s="11"/>
      <c r="AO98" s="11"/>
      <c r="AP98" s="11"/>
      <c r="AQ98" s="11"/>
      <c r="AR98" s="11"/>
      <c r="AS98" s="11"/>
      <c r="AT98" s="11"/>
      <c r="AU98" s="11"/>
      <c r="AV98" s="11"/>
      <c r="AW98" s="11"/>
      <c r="AX98" s="11"/>
      <c r="AY98" s="11"/>
      <c r="AZ98" s="11"/>
      <c r="BA98" s="11"/>
      <c r="BB98" s="11"/>
      <c r="BC98" s="11"/>
      <c r="BD98" s="11"/>
      <c r="BE98" s="11"/>
      <c r="BF98" s="11"/>
      <c r="BG98" s="11"/>
      <c r="BH98" s="11"/>
      <c r="BI98" s="11"/>
      <c r="BJ98" s="11"/>
      <c r="BK98" s="11"/>
      <c r="BL98" s="11"/>
      <c r="BM98" s="11"/>
      <c r="BN98" s="11"/>
      <c r="BO98" s="11"/>
      <c r="BP98" s="11"/>
      <c r="BQ98" s="11"/>
      <c r="BR98" s="11"/>
    </row>
    <row r="99" spans="2:70" x14ac:dyDescent="0.2">
      <c r="B99" s="10"/>
      <c r="C99" s="10"/>
      <c r="D99" s="10"/>
      <c r="E99" s="11"/>
      <c r="F99" s="11"/>
      <c r="G99" s="11"/>
      <c r="H99" s="11"/>
      <c r="I99" s="11"/>
      <c r="J99" s="11"/>
      <c r="K99" s="11"/>
      <c r="L99" s="11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  <c r="AL99" s="11"/>
      <c r="AM99" s="11"/>
      <c r="AN99" s="11"/>
      <c r="AO99" s="11"/>
      <c r="AP99" s="11"/>
      <c r="AQ99" s="11"/>
      <c r="AR99" s="11"/>
      <c r="AS99" s="11"/>
      <c r="AT99" s="11"/>
      <c r="AU99" s="11"/>
      <c r="AV99" s="11"/>
      <c r="AW99" s="11"/>
      <c r="AX99" s="11"/>
      <c r="AY99" s="11"/>
      <c r="AZ99" s="11"/>
      <c r="BA99" s="11"/>
      <c r="BB99" s="11"/>
      <c r="BC99" s="11"/>
      <c r="BD99" s="11"/>
      <c r="BE99" s="11"/>
      <c r="BF99" s="11"/>
      <c r="BG99" s="11"/>
      <c r="BH99" s="11"/>
      <c r="BI99" s="11"/>
      <c r="BJ99" s="11"/>
      <c r="BK99" s="11"/>
      <c r="BL99" s="11"/>
      <c r="BM99" s="11"/>
      <c r="BN99" s="11"/>
      <c r="BO99" s="11"/>
      <c r="BP99" s="11"/>
      <c r="BQ99" s="11"/>
      <c r="BR99" s="11"/>
    </row>
    <row r="100" spans="2:70" x14ac:dyDescent="0.2">
      <c r="B100" s="10"/>
      <c r="C100" s="10"/>
      <c r="D100" s="10"/>
      <c r="E100" s="11"/>
      <c r="F100" s="11"/>
      <c r="G100" s="11"/>
      <c r="H100" s="11"/>
      <c r="I100" s="11"/>
      <c r="J100" s="11"/>
      <c r="K100" s="11"/>
      <c r="L100" s="11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  <c r="AP100" s="11"/>
      <c r="AQ100" s="11"/>
      <c r="AR100" s="11"/>
      <c r="AS100" s="11"/>
      <c r="AT100" s="11"/>
      <c r="AU100" s="11"/>
      <c r="AV100" s="11"/>
      <c r="AW100" s="11"/>
      <c r="AX100" s="11"/>
      <c r="AY100" s="11"/>
      <c r="AZ100" s="11"/>
      <c r="BA100" s="11"/>
      <c r="BB100" s="11"/>
      <c r="BC100" s="11"/>
      <c r="BD100" s="11"/>
      <c r="BE100" s="11"/>
      <c r="BF100" s="11"/>
      <c r="BG100" s="11"/>
      <c r="BH100" s="11"/>
      <c r="BI100" s="11"/>
      <c r="BJ100" s="11"/>
      <c r="BK100" s="11"/>
      <c r="BL100" s="11"/>
      <c r="BM100" s="11"/>
      <c r="BN100" s="11"/>
      <c r="BO100" s="11"/>
      <c r="BP100" s="11"/>
      <c r="BQ100" s="11"/>
      <c r="BR100" s="11"/>
    </row>
    <row r="101" spans="2:70" x14ac:dyDescent="0.2">
      <c r="B101" s="10"/>
      <c r="C101" s="10"/>
      <c r="D101" s="10"/>
      <c r="E101" s="11"/>
      <c r="F101" s="11"/>
      <c r="G101" s="11"/>
      <c r="H101" s="11"/>
      <c r="I101" s="11"/>
      <c r="J101" s="11"/>
      <c r="K101" s="11"/>
      <c r="L101" s="11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  <c r="AL101" s="11"/>
      <c r="AM101" s="11"/>
      <c r="AN101" s="11"/>
      <c r="AO101" s="11"/>
      <c r="AP101" s="11"/>
      <c r="AQ101" s="11"/>
      <c r="AR101" s="11"/>
      <c r="AS101" s="11"/>
      <c r="AT101" s="11"/>
      <c r="AU101" s="11"/>
      <c r="AV101" s="11"/>
      <c r="AW101" s="11"/>
      <c r="AX101" s="11"/>
      <c r="AY101" s="11"/>
      <c r="AZ101" s="11"/>
      <c r="BA101" s="11"/>
      <c r="BB101" s="11"/>
      <c r="BC101" s="11"/>
      <c r="BD101" s="11"/>
      <c r="BE101" s="11"/>
      <c r="BF101" s="11"/>
      <c r="BG101" s="11"/>
      <c r="BH101" s="11"/>
      <c r="BI101" s="11"/>
      <c r="BJ101" s="11"/>
      <c r="BK101" s="11"/>
      <c r="BL101" s="11"/>
      <c r="BM101" s="11"/>
      <c r="BN101" s="11"/>
      <c r="BO101" s="11"/>
      <c r="BP101" s="11"/>
      <c r="BQ101" s="11"/>
      <c r="BR101" s="11"/>
    </row>
    <row r="102" spans="2:70" x14ac:dyDescent="0.2">
      <c r="B102" s="10"/>
      <c r="C102" s="10"/>
      <c r="D102" s="10"/>
      <c r="E102" s="11"/>
      <c r="F102" s="11"/>
      <c r="G102" s="11"/>
      <c r="H102" s="11"/>
      <c r="I102" s="11"/>
      <c r="J102" s="11"/>
      <c r="K102" s="11"/>
      <c r="L102" s="11"/>
      <c r="M102" s="11"/>
      <c r="N102" s="11"/>
      <c r="O102" s="11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  <c r="AL102" s="11"/>
      <c r="AM102" s="11"/>
      <c r="AN102" s="11"/>
      <c r="AO102" s="11"/>
      <c r="AP102" s="11"/>
      <c r="AQ102" s="11"/>
      <c r="AR102" s="11"/>
      <c r="AS102" s="11"/>
      <c r="AT102" s="11"/>
      <c r="AU102" s="11"/>
      <c r="AV102" s="11"/>
      <c r="AW102" s="11"/>
      <c r="AX102" s="11"/>
      <c r="AY102" s="11"/>
      <c r="AZ102" s="11"/>
      <c r="BA102" s="11"/>
      <c r="BB102" s="11"/>
      <c r="BC102" s="11"/>
      <c r="BD102" s="11"/>
      <c r="BE102" s="11"/>
      <c r="BF102" s="11"/>
      <c r="BG102" s="11"/>
      <c r="BH102" s="11"/>
      <c r="BI102" s="11"/>
      <c r="BJ102" s="11"/>
      <c r="BK102" s="11"/>
      <c r="BL102" s="11"/>
      <c r="BM102" s="11"/>
      <c r="BN102" s="11"/>
      <c r="BO102" s="11"/>
      <c r="BP102" s="11"/>
      <c r="BQ102" s="11"/>
      <c r="BR102" s="11"/>
    </row>
    <row r="103" spans="2:70" x14ac:dyDescent="0.2">
      <c r="B103" s="10"/>
      <c r="C103" s="10"/>
      <c r="D103" s="10"/>
      <c r="E103" s="11"/>
      <c r="F103" s="11"/>
      <c r="G103" s="11"/>
      <c r="H103" s="11"/>
      <c r="I103" s="11"/>
      <c r="J103" s="11"/>
      <c r="K103" s="11"/>
      <c r="L103" s="11"/>
      <c r="M103" s="11"/>
      <c r="N103" s="11"/>
      <c r="O103" s="11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  <c r="AL103" s="11"/>
      <c r="AM103" s="11"/>
      <c r="AN103" s="11"/>
      <c r="AO103" s="11"/>
      <c r="AP103" s="11"/>
      <c r="AQ103" s="11"/>
      <c r="AR103" s="11"/>
      <c r="AS103" s="11"/>
      <c r="AT103" s="11"/>
      <c r="AU103" s="11"/>
      <c r="AV103" s="11"/>
      <c r="AW103" s="11"/>
      <c r="AX103" s="11"/>
      <c r="AY103" s="11"/>
      <c r="AZ103" s="11"/>
      <c r="BA103" s="11"/>
      <c r="BB103" s="11"/>
      <c r="BC103" s="11"/>
      <c r="BD103" s="11"/>
      <c r="BE103" s="11"/>
      <c r="BF103" s="11"/>
      <c r="BG103" s="11"/>
      <c r="BH103" s="11"/>
      <c r="BI103" s="11"/>
      <c r="BJ103" s="11"/>
      <c r="BK103" s="11"/>
      <c r="BL103" s="11"/>
      <c r="BM103" s="11"/>
      <c r="BN103" s="11"/>
      <c r="BO103" s="11"/>
      <c r="BP103" s="11"/>
      <c r="BQ103" s="11"/>
      <c r="BR103" s="11"/>
    </row>
    <row r="104" spans="2:70" x14ac:dyDescent="0.2">
      <c r="B104" s="10"/>
      <c r="C104" s="10"/>
      <c r="D104" s="10"/>
      <c r="E104" s="11"/>
      <c r="F104" s="11"/>
      <c r="G104" s="11"/>
      <c r="H104" s="11"/>
      <c r="I104" s="11"/>
      <c r="J104" s="11"/>
      <c r="K104" s="11"/>
      <c r="L104" s="11"/>
      <c r="M104" s="11"/>
      <c r="N104" s="11"/>
      <c r="O104" s="11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  <c r="AL104" s="11"/>
      <c r="AM104" s="11"/>
      <c r="AN104" s="11"/>
      <c r="AO104" s="11"/>
      <c r="AP104" s="11"/>
      <c r="AQ104" s="11"/>
      <c r="AR104" s="11"/>
      <c r="AS104" s="11"/>
      <c r="AT104" s="11"/>
      <c r="AU104" s="11"/>
      <c r="AV104" s="11"/>
      <c r="AW104" s="11"/>
      <c r="AX104" s="11"/>
      <c r="AY104" s="11"/>
      <c r="AZ104" s="11"/>
      <c r="BA104" s="11"/>
      <c r="BB104" s="11"/>
      <c r="BC104" s="11"/>
      <c r="BD104" s="11"/>
      <c r="BE104" s="11"/>
      <c r="BF104" s="11"/>
      <c r="BG104" s="11"/>
      <c r="BH104" s="11"/>
      <c r="BI104" s="11"/>
      <c r="BJ104" s="11"/>
      <c r="BK104" s="11"/>
      <c r="BL104" s="11"/>
      <c r="BM104" s="11"/>
      <c r="BN104" s="11"/>
      <c r="BO104" s="11"/>
      <c r="BP104" s="11"/>
      <c r="BQ104" s="11"/>
      <c r="BR104" s="11"/>
    </row>
    <row r="105" spans="2:70" x14ac:dyDescent="0.2">
      <c r="B105" s="11"/>
      <c r="C105" s="11"/>
      <c r="D105" s="11"/>
      <c r="E105" s="11"/>
      <c r="F105" s="11"/>
      <c r="G105" s="11"/>
      <c r="H105" s="11"/>
      <c r="I105" s="11"/>
      <c r="J105" s="11"/>
      <c r="K105" s="11"/>
      <c r="L105" s="11"/>
      <c r="M105" s="11"/>
      <c r="N105" s="11"/>
      <c r="O105" s="11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  <c r="AL105" s="11"/>
      <c r="AM105" s="11"/>
      <c r="AN105" s="11"/>
      <c r="AO105" s="11"/>
      <c r="AP105" s="11"/>
      <c r="AQ105" s="11"/>
      <c r="AR105" s="11"/>
      <c r="AS105" s="11"/>
      <c r="AT105" s="11"/>
      <c r="AU105" s="11"/>
      <c r="AV105" s="11"/>
      <c r="AW105" s="11"/>
      <c r="AX105" s="11"/>
      <c r="AY105" s="11"/>
      <c r="AZ105" s="11"/>
      <c r="BA105" s="11"/>
      <c r="BB105" s="11"/>
      <c r="BC105" s="11"/>
      <c r="BD105" s="11"/>
      <c r="BE105" s="11"/>
      <c r="BF105" s="11"/>
      <c r="BG105" s="11"/>
      <c r="BH105" s="11"/>
      <c r="BI105" s="11"/>
      <c r="BJ105" s="11"/>
      <c r="BK105" s="11"/>
      <c r="BL105" s="11"/>
      <c r="BM105" s="11"/>
      <c r="BN105" s="11"/>
      <c r="BO105" s="11"/>
      <c r="BP105" s="11"/>
      <c r="BQ105" s="11"/>
      <c r="BR105" s="11"/>
    </row>
    <row r="106" spans="2:70" x14ac:dyDescent="0.2">
      <c r="B106" s="11"/>
      <c r="C106" s="11"/>
      <c r="D106" s="11"/>
      <c r="E106" s="11"/>
      <c r="F106" s="11"/>
      <c r="G106" s="11"/>
      <c r="H106" s="11"/>
      <c r="I106" s="11"/>
      <c r="J106" s="11"/>
      <c r="K106" s="11"/>
      <c r="L106" s="11"/>
      <c r="M106" s="11"/>
      <c r="N106" s="11"/>
      <c r="O106" s="11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  <c r="AH106" s="11"/>
      <c r="AI106" s="11"/>
      <c r="AJ106" s="11"/>
      <c r="AK106" s="11"/>
      <c r="AL106" s="11"/>
      <c r="AM106" s="11"/>
      <c r="AN106" s="11"/>
      <c r="AO106" s="11"/>
      <c r="AP106" s="11"/>
      <c r="AQ106" s="11"/>
      <c r="AR106" s="11"/>
      <c r="AS106" s="11"/>
      <c r="AT106" s="11"/>
      <c r="AU106" s="11"/>
      <c r="AV106" s="11"/>
      <c r="AW106" s="11"/>
      <c r="AX106" s="11"/>
      <c r="AY106" s="11"/>
      <c r="AZ106" s="11"/>
      <c r="BA106" s="11"/>
      <c r="BB106" s="11"/>
      <c r="BC106" s="11"/>
      <c r="BD106" s="11"/>
      <c r="BE106" s="11"/>
      <c r="BF106" s="11"/>
      <c r="BG106" s="11"/>
      <c r="BH106" s="11"/>
      <c r="BI106" s="11"/>
      <c r="BJ106" s="11"/>
      <c r="BK106" s="11"/>
      <c r="BL106" s="11"/>
      <c r="BM106" s="11"/>
      <c r="BN106" s="11"/>
      <c r="BO106" s="11"/>
      <c r="BP106" s="11"/>
      <c r="BQ106" s="11"/>
      <c r="BR106" s="11"/>
    </row>
    <row r="107" spans="2:70" x14ac:dyDescent="0.2">
      <c r="B107" s="11"/>
      <c r="C107" s="11"/>
      <c r="D107" s="11"/>
      <c r="E107" s="11"/>
      <c r="F107" s="11"/>
      <c r="G107" s="11"/>
      <c r="H107" s="11"/>
      <c r="I107" s="11"/>
      <c r="J107" s="11"/>
      <c r="K107" s="11"/>
      <c r="L107" s="11"/>
      <c r="M107" s="11"/>
      <c r="N107" s="11"/>
      <c r="O107" s="11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  <c r="AG107" s="11"/>
      <c r="AH107" s="11"/>
      <c r="AI107" s="11"/>
      <c r="AJ107" s="11"/>
      <c r="AK107" s="11"/>
      <c r="AL107" s="11"/>
      <c r="AM107" s="11"/>
      <c r="AN107" s="11"/>
      <c r="AO107" s="11"/>
      <c r="AP107" s="11"/>
      <c r="AQ107" s="11"/>
      <c r="AR107" s="11"/>
      <c r="AS107" s="11"/>
      <c r="AT107" s="11"/>
      <c r="AU107" s="11"/>
      <c r="AV107" s="11"/>
      <c r="AW107" s="11"/>
      <c r="AX107" s="11"/>
      <c r="AY107" s="11"/>
      <c r="AZ107" s="11"/>
      <c r="BA107" s="11"/>
      <c r="BB107" s="11"/>
      <c r="BC107" s="11"/>
      <c r="BD107" s="11"/>
      <c r="BE107" s="11"/>
      <c r="BF107" s="11"/>
      <c r="BG107" s="11"/>
      <c r="BH107" s="11"/>
      <c r="BI107" s="11"/>
      <c r="BJ107" s="11"/>
      <c r="BK107" s="11"/>
      <c r="BL107" s="11"/>
      <c r="BM107" s="11"/>
      <c r="BN107" s="11"/>
      <c r="BO107" s="11"/>
      <c r="BP107" s="11"/>
      <c r="BQ107" s="11"/>
      <c r="BR107" s="11"/>
    </row>
    <row r="108" spans="2:70" x14ac:dyDescent="0.2">
      <c r="B108" s="11"/>
      <c r="C108" s="11"/>
      <c r="D108" s="11"/>
      <c r="E108" s="11"/>
      <c r="F108" s="11"/>
      <c r="G108" s="11"/>
      <c r="H108" s="11"/>
      <c r="I108" s="11"/>
      <c r="J108" s="11"/>
      <c r="K108" s="11"/>
      <c r="L108" s="11"/>
      <c r="M108" s="11"/>
      <c r="N108" s="11"/>
      <c r="O108" s="11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  <c r="AG108" s="11"/>
      <c r="AH108" s="11"/>
      <c r="AI108" s="11"/>
      <c r="AJ108" s="11"/>
      <c r="AK108" s="11"/>
      <c r="AL108" s="11"/>
      <c r="AM108" s="11"/>
      <c r="AN108" s="11"/>
      <c r="AO108" s="11"/>
      <c r="AP108" s="11"/>
      <c r="AQ108" s="11"/>
      <c r="AR108" s="11"/>
      <c r="AS108" s="11"/>
      <c r="AT108" s="11"/>
      <c r="AU108" s="11"/>
      <c r="AV108" s="11"/>
      <c r="AW108" s="11"/>
      <c r="AX108" s="11"/>
      <c r="AY108" s="11"/>
      <c r="AZ108" s="11"/>
      <c r="BA108" s="11"/>
      <c r="BB108" s="11"/>
      <c r="BC108" s="11"/>
      <c r="BD108" s="11"/>
      <c r="BE108" s="11"/>
      <c r="BF108" s="11"/>
      <c r="BG108" s="11"/>
      <c r="BH108" s="11"/>
      <c r="BI108" s="11"/>
      <c r="BJ108" s="11"/>
      <c r="BK108" s="11"/>
      <c r="BL108" s="11"/>
      <c r="BM108" s="11"/>
      <c r="BN108" s="11"/>
      <c r="BO108" s="11"/>
      <c r="BP108" s="11"/>
      <c r="BQ108" s="11"/>
      <c r="BR108" s="11"/>
    </row>
    <row r="109" spans="2:70" x14ac:dyDescent="0.2">
      <c r="B109" s="11"/>
      <c r="C109" s="11"/>
      <c r="D109" s="11"/>
      <c r="E109" s="11"/>
      <c r="F109" s="11"/>
      <c r="G109" s="11"/>
      <c r="H109" s="11"/>
      <c r="I109" s="11"/>
      <c r="J109" s="11"/>
      <c r="K109" s="11"/>
      <c r="L109" s="11"/>
      <c r="M109" s="11"/>
      <c r="N109" s="11"/>
      <c r="O109" s="11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  <c r="AE109" s="11"/>
      <c r="AF109" s="11"/>
      <c r="AG109" s="11"/>
      <c r="AH109" s="11"/>
      <c r="AI109" s="11"/>
      <c r="AJ109" s="11"/>
      <c r="AK109" s="11"/>
      <c r="AL109" s="11"/>
      <c r="AM109" s="11"/>
      <c r="AN109" s="11"/>
      <c r="AO109" s="11"/>
      <c r="AP109" s="11"/>
      <c r="AQ109" s="11"/>
      <c r="AR109" s="11"/>
      <c r="AS109" s="11"/>
      <c r="AT109" s="11"/>
      <c r="AU109" s="11"/>
      <c r="AV109" s="11"/>
      <c r="AW109" s="11"/>
      <c r="AX109" s="11"/>
      <c r="AY109" s="11"/>
      <c r="AZ109" s="11"/>
      <c r="BA109" s="11"/>
      <c r="BB109" s="11"/>
      <c r="BC109" s="11"/>
      <c r="BD109" s="11"/>
      <c r="BE109" s="11"/>
      <c r="BF109" s="11"/>
      <c r="BG109" s="11"/>
      <c r="BH109" s="11"/>
      <c r="BI109" s="11"/>
      <c r="BJ109" s="11"/>
      <c r="BK109" s="11"/>
      <c r="BL109" s="11"/>
      <c r="BM109" s="11"/>
      <c r="BN109" s="11"/>
      <c r="BO109" s="11"/>
      <c r="BP109" s="11"/>
      <c r="BQ109" s="11"/>
      <c r="BR109" s="11"/>
    </row>
    <row r="110" spans="2:70" x14ac:dyDescent="0.2">
      <c r="B110" s="11"/>
      <c r="C110" s="11"/>
      <c r="D110" s="11"/>
      <c r="E110" s="11"/>
      <c r="F110" s="11"/>
      <c r="G110" s="11"/>
      <c r="H110" s="11"/>
      <c r="I110" s="11"/>
      <c r="J110" s="11"/>
      <c r="K110" s="11"/>
      <c r="L110" s="11"/>
      <c r="M110" s="11"/>
      <c r="N110" s="11"/>
      <c r="O110" s="11"/>
      <c r="P110" s="11"/>
      <c r="Q110" s="11"/>
      <c r="R110" s="11"/>
      <c r="S110" s="11"/>
      <c r="T110" s="11"/>
      <c r="U110" s="11"/>
      <c r="V110" s="11"/>
      <c r="W110" s="11"/>
      <c r="X110" s="11"/>
      <c r="Y110" s="11"/>
      <c r="Z110" s="11"/>
      <c r="AA110" s="11"/>
      <c r="AB110" s="11"/>
      <c r="AC110" s="11"/>
      <c r="AD110" s="11"/>
      <c r="AE110" s="11"/>
      <c r="AF110" s="11"/>
      <c r="AG110" s="11"/>
      <c r="AH110" s="11"/>
      <c r="AI110" s="11"/>
      <c r="AJ110" s="11"/>
      <c r="AK110" s="11"/>
      <c r="AL110" s="11"/>
      <c r="AM110" s="11"/>
      <c r="AN110" s="11"/>
      <c r="AO110" s="11"/>
      <c r="AP110" s="11"/>
      <c r="AQ110" s="11"/>
      <c r="AR110" s="11"/>
      <c r="AS110" s="11"/>
      <c r="AT110" s="11"/>
      <c r="AU110" s="11"/>
      <c r="AV110" s="11"/>
      <c r="AW110" s="11"/>
      <c r="AX110" s="11"/>
      <c r="AY110" s="11"/>
      <c r="AZ110" s="11"/>
      <c r="BA110" s="11"/>
      <c r="BB110" s="11"/>
      <c r="BC110" s="11"/>
      <c r="BD110" s="11"/>
      <c r="BE110" s="11"/>
      <c r="BF110" s="11"/>
      <c r="BG110" s="11"/>
      <c r="BH110" s="11"/>
      <c r="BI110" s="11"/>
      <c r="BJ110" s="11"/>
      <c r="BK110" s="11"/>
      <c r="BL110" s="11"/>
      <c r="BM110" s="11"/>
      <c r="BN110" s="11"/>
      <c r="BO110" s="11"/>
      <c r="BP110" s="11"/>
      <c r="BQ110" s="11"/>
      <c r="BR110" s="11"/>
    </row>
    <row r="111" spans="2:70" x14ac:dyDescent="0.2">
      <c r="B111" s="11"/>
      <c r="C111" s="11"/>
      <c r="D111" s="11"/>
      <c r="E111" s="11"/>
      <c r="F111" s="11"/>
      <c r="G111" s="11"/>
      <c r="H111" s="11"/>
      <c r="I111" s="11"/>
      <c r="J111" s="11"/>
      <c r="K111" s="11"/>
      <c r="L111" s="11"/>
      <c r="M111" s="11"/>
      <c r="N111" s="11"/>
      <c r="O111" s="11"/>
      <c r="P111" s="11"/>
      <c r="Q111" s="11"/>
      <c r="R111" s="11"/>
      <c r="S111" s="11"/>
      <c r="T111" s="11"/>
      <c r="U111" s="11"/>
      <c r="V111" s="11"/>
      <c r="W111" s="11"/>
      <c r="X111" s="11"/>
      <c r="Y111" s="11"/>
      <c r="Z111" s="11"/>
      <c r="AA111" s="11"/>
      <c r="AB111" s="11"/>
      <c r="AC111" s="11"/>
      <c r="AD111" s="11"/>
      <c r="AE111" s="11"/>
      <c r="AF111" s="11"/>
      <c r="AG111" s="11"/>
      <c r="AH111" s="11"/>
      <c r="AI111" s="11"/>
      <c r="AJ111" s="11"/>
      <c r="AK111" s="11"/>
      <c r="AL111" s="11"/>
      <c r="AM111" s="11"/>
      <c r="AN111" s="11"/>
      <c r="AO111" s="11"/>
      <c r="AP111" s="11"/>
      <c r="AQ111" s="11"/>
      <c r="AR111" s="11"/>
      <c r="AS111" s="11"/>
      <c r="AT111" s="11"/>
      <c r="AU111" s="11"/>
      <c r="AV111" s="11"/>
      <c r="AW111" s="11"/>
      <c r="AX111" s="11"/>
      <c r="AY111" s="11"/>
      <c r="AZ111" s="11"/>
      <c r="BA111" s="11"/>
      <c r="BB111" s="11"/>
      <c r="BC111" s="11"/>
      <c r="BD111" s="11"/>
      <c r="BE111" s="11"/>
      <c r="BF111" s="11"/>
      <c r="BG111" s="11"/>
      <c r="BH111" s="11"/>
      <c r="BI111" s="11"/>
      <c r="BJ111" s="11"/>
      <c r="BK111" s="11"/>
      <c r="BL111" s="11"/>
      <c r="BM111" s="11"/>
      <c r="BN111" s="11"/>
      <c r="BO111" s="11"/>
      <c r="BP111" s="11"/>
      <c r="BQ111" s="11"/>
      <c r="BR111" s="11"/>
    </row>
    <row r="112" spans="2:70" x14ac:dyDescent="0.2">
      <c r="B112" s="11"/>
      <c r="C112" s="11"/>
      <c r="D112" s="11"/>
      <c r="E112" s="11"/>
      <c r="F112" s="11"/>
      <c r="G112" s="11"/>
      <c r="H112" s="11"/>
      <c r="I112" s="11"/>
      <c r="J112" s="11"/>
      <c r="K112" s="11"/>
      <c r="L112" s="11"/>
      <c r="M112" s="11"/>
      <c r="N112" s="11"/>
      <c r="O112" s="11"/>
      <c r="P112" s="11"/>
      <c r="Q112" s="11"/>
      <c r="R112" s="11"/>
      <c r="S112" s="11"/>
      <c r="T112" s="11"/>
      <c r="U112" s="11"/>
      <c r="V112" s="11"/>
      <c r="W112" s="11"/>
      <c r="X112" s="11"/>
      <c r="Y112" s="11"/>
      <c r="Z112" s="11"/>
      <c r="AA112" s="11"/>
      <c r="AB112" s="11"/>
      <c r="AC112" s="11"/>
      <c r="AD112" s="11"/>
      <c r="AE112" s="11"/>
      <c r="AF112" s="11"/>
      <c r="AG112" s="11"/>
      <c r="AH112" s="11"/>
      <c r="AI112" s="11"/>
      <c r="AJ112" s="11"/>
      <c r="AK112" s="11"/>
      <c r="AL112" s="11"/>
      <c r="AM112" s="11"/>
      <c r="AN112" s="11"/>
      <c r="AO112" s="11"/>
      <c r="AP112" s="11"/>
      <c r="AQ112" s="11"/>
      <c r="AR112" s="11"/>
      <c r="AS112" s="11"/>
      <c r="AT112" s="11"/>
      <c r="AU112" s="11"/>
      <c r="AV112" s="11"/>
      <c r="AW112" s="11"/>
      <c r="AX112" s="11"/>
      <c r="AY112" s="11"/>
      <c r="AZ112" s="11"/>
      <c r="BA112" s="11"/>
      <c r="BB112" s="11"/>
      <c r="BC112" s="11"/>
      <c r="BD112" s="11"/>
      <c r="BE112" s="11"/>
      <c r="BF112" s="11"/>
      <c r="BG112" s="11"/>
      <c r="BH112" s="11"/>
      <c r="BI112" s="11"/>
      <c r="BJ112" s="11"/>
      <c r="BK112" s="11"/>
      <c r="BL112" s="11"/>
      <c r="BM112" s="11"/>
      <c r="BN112" s="11"/>
      <c r="BO112" s="11"/>
      <c r="BP112" s="11"/>
      <c r="BQ112" s="11"/>
      <c r="BR112" s="11"/>
    </row>
    <row r="113" spans="2:70" x14ac:dyDescent="0.2">
      <c r="B113" s="11"/>
      <c r="C113" s="11"/>
      <c r="D113" s="11"/>
      <c r="E113" s="11"/>
      <c r="F113" s="11"/>
      <c r="G113" s="11"/>
      <c r="H113" s="11"/>
      <c r="I113" s="11"/>
      <c r="J113" s="11"/>
      <c r="K113" s="11"/>
      <c r="L113" s="11"/>
      <c r="M113" s="11"/>
      <c r="N113" s="11"/>
      <c r="O113" s="11"/>
      <c r="P113" s="11"/>
      <c r="Q113" s="11"/>
      <c r="R113" s="11"/>
      <c r="S113" s="11"/>
      <c r="T113" s="11"/>
      <c r="U113" s="11"/>
      <c r="V113" s="11"/>
      <c r="W113" s="11"/>
      <c r="X113" s="11"/>
      <c r="Y113" s="11"/>
      <c r="Z113" s="11"/>
      <c r="AA113" s="11"/>
      <c r="AB113" s="11"/>
      <c r="AC113" s="11"/>
      <c r="AD113" s="11"/>
      <c r="AE113" s="11"/>
      <c r="AF113" s="11"/>
      <c r="AG113" s="11"/>
      <c r="AH113" s="11"/>
      <c r="AI113" s="11"/>
      <c r="AJ113" s="11"/>
      <c r="AK113" s="11"/>
      <c r="AL113" s="11"/>
      <c r="AM113" s="11"/>
      <c r="AN113" s="11"/>
      <c r="AO113" s="11"/>
      <c r="AP113" s="11"/>
      <c r="AQ113" s="11"/>
      <c r="AR113" s="11"/>
      <c r="AS113" s="11"/>
      <c r="AT113" s="11"/>
      <c r="AU113" s="11"/>
      <c r="AV113" s="11"/>
      <c r="AW113" s="11"/>
      <c r="AX113" s="11"/>
      <c r="AY113" s="11"/>
      <c r="AZ113" s="11"/>
      <c r="BA113" s="11"/>
      <c r="BB113" s="11"/>
      <c r="BC113" s="11"/>
      <c r="BD113" s="11"/>
      <c r="BE113" s="11"/>
      <c r="BF113" s="11"/>
      <c r="BG113" s="11"/>
      <c r="BH113" s="11"/>
      <c r="BI113" s="11"/>
      <c r="BJ113" s="11"/>
      <c r="BK113" s="11"/>
      <c r="BL113" s="11"/>
      <c r="BM113" s="11"/>
      <c r="BN113" s="11"/>
      <c r="BO113" s="11"/>
      <c r="BP113" s="11"/>
      <c r="BQ113" s="11"/>
      <c r="BR113" s="11"/>
    </row>
    <row r="114" spans="2:70" x14ac:dyDescent="0.2">
      <c r="B114" s="11"/>
      <c r="C114" s="11"/>
      <c r="D114" s="11"/>
      <c r="E114" s="11"/>
      <c r="F114" s="11"/>
      <c r="G114" s="11"/>
      <c r="H114" s="11"/>
      <c r="I114" s="11"/>
      <c r="J114" s="11"/>
      <c r="K114" s="11"/>
      <c r="L114" s="11"/>
      <c r="M114" s="11"/>
      <c r="N114" s="11"/>
      <c r="O114" s="11"/>
      <c r="P114" s="11"/>
      <c r="Q114" s="11"/>
      <c r="R114" s="11"/>
      <c r="S114" s="11"/>
      <c r="T114" s="11"/>
      <c r="U114" s="11"/>
      <c r="V114" s="11"/>
      <c r="W114" s="11"/>
      <c r="X114" s="11"/>
      <c r="Y114" s="11"/>
      <c r="Z114" s="11"/>
      <c r="AA114" s="11"/>
      <c r="AB114" s="11"/>
      <c r="AC114" s="11"/>
      <c r="AD114" s="11"/>
      <c r="AE114" s="11"/>
      <c r="AF114" s="11"/>
      <c r="AG114" s="11"/>
      <c r="AH114" s="11"/>
      <c r="AI114" s="11"/>
      <c r="AJ114" s="11"/>
      <c r="AK114" s="11"/>
      <c r="AL114" s="11"/>
      <c r="AM114" s="11"/>
      <c r="AN114" s="11"/>
      <c r="AO114" s="11"/>
      <c r="AP114" s="11"/>
      <c r="AQ114" s="11"/>
      <c r="AR114" s="11"/>
      <c r="AS114" s="11"/>
      <c r="AT114" s="11"/>
      <c r="AU114" s="11"/>
      <c r="AV114" s="11"/>
      <c r="AW114" s="11"/>
      <c r="AX114" s="11"/>
      <c r="AY114" s="11"/>
      <c r="AZ114" s="11"/>
      <c r="BA114" s="11"/>
      <c r="BB114" s="11"/>
      <c r="BC114" s="11"/>
      <c r="BD114" s="11"/>
      <c r="BE114" s="11"/>
      <c r="BF114" s="11"/>
      <c r="BG114" s="11"/>
      <c r="BH114" s="11"/>
      <c r="BI114" s="11"/>
      <c r="BJ114" s="11"/>
      <c r="BK114" s="11"/>
      <c r="BL114" s="11"/>
      <c r="BM114" s="11"/>
      <c r="BN114" s="11"/>
      <c r="BO114" s="11"/>
      <c r="BP114" s="11"/>
      <c r="BQ114" s="11"/>
      <c r="BR114" s="11"/>
    </row>
    <row r="115" spans="2:70" x14ac:dyDescent="0.2">
      <c r="B115" s="11"/>
      <c r="C115" s="11"/>
      <c r="D115" s="11"/>
      <c r="E115" s="11"/>
      <c r="F115" s="11"/>
      <c r="G115" s="11"/>
      <c r="H115" s="11"/>
      <c r="I115" s="11"/>
      <c r="J115" s="11"/>
      <c r="K115" s="11"/>
      <c r="L115" s="11"/>
      <c r="M115" s="11"/>
      <c r="N115" s="11"/>
      <c r="O115" s="11"/>
      <c r="P115" s="11"/>
      <c r="Q115" s="11"/>
      <c r="R115" s="11"/>
      <c r="S115" s="11"/>
      <c r="T115" s="11"/>
      <c r="U115" s="11"/>
      <c r="V115" s="11"/>
      <c r="W115" s="11"/>
      <c r="X115" s="11"/>
      <c r="Y115" s="11"/>
      <c r="Z115" s="11"/>
      <c r="AA115" s="11"/>
      <c r="AB115" s="11"/>
      <c r="AC115" s="11"/>
      <c r="AD115" s="11"/>
      <c r="AE115" s="11"/>
      <c r="AF115" s="11"/>
      <c r="AG115" s="11"/>
      <c r="AH115" s="11"/>
      <c r="AI115" s="11"/>
      <c r="AJ115" s="11"/>
      <c r="AK115" s="11"/>
      <c r="AL115" s="11"/>
      <c r="AM115" s="11"/>
      <c r="AN115" s="11"/>
      <c r="AO115" s="11"/>
      <c r="AP115" s="11"/>
      <c r="AQ115" s="11"/>
      <c r="AR115" s="11"/>
      <c r="AS115" s="11"/>
      <c r="AT115" s="11"/>
      <c r="AU115" s="11"/>
      <c r="AV115" s="11"/>
      <c r="AW115" s="11"/>
      <c r="AX115" s="11"/>
      <c r="AY115" s="11"/>
      <c r="AZ115" s="11"/>
      <c r="BA115" s="11"/>
      <c r="BB115" s="11"/>
      <c r="BC115" s="11"/>
      <c r="BD115" s="11"/>
      <c r="BE115" s="11"/>
      <c r="BF115" s="11"/>
      <c r="BG115" s="11"/>
      <c r="BH115" s="11"/>
      <c r="BI115" s="11"/>
      <c r="BJ115" s="11"/>
      <c r="BK115" s="11"/>
      <c r="BL115" s="11"/>
      <c r="BM115" s="11"/>
      <c r="BN115" s="11"/>
      <c r="BO115" s="11"/>
      <c r="BP115" s="11"/>
      <c r="BQ115" s="11"/>
      <c r="BR115" s="11"/>
    </row>
    <row r="116" spans="2:70" x14ac:dyDescent="0.2">
      <c r="B116" s="11"/>
      <c r="C116" s="11"/>
      <c r="D116" s="11"/>
      <c r="E116" s="11"/>
      <c r="F116" s="11"/>
      <c r="G116" s="11"/>
      <c r="H116" s="11"/>
      <c r="I116" s="11"/>
      <c r="J116" s="11"/>
      <c r="K116" s="11"/>
      <c r="L116" s="11"/>
      <c r="M116" s="11"/>
      <c r="N116" s="11"/>
      <c r="O116" s="11"/>
      <c r="P116" s="11"/>
      <c r="Q116" s="11"/>
      <c r="R116" s="11"/>
      <c r="S116" s="11"/>
      <c r="T116" s="11"/>
      <c r="U116" s="11"/>
      <c r="V116" s="11"/>
      <c r="W116" s="11"/>
      <c r="X116" s="11"/>
      <c r="Y116" s="11"/>
      <c r="Z116" s="11"/>
      <c r="AA116" s="11"/>
      <c r="AB116" s="11"/>
      <c r="AC116" s="11"/>
      <c r="AD116" s="11"/>
      <c r="AE116" s="11"/>
      <c r="AF116" s="11"/>
      <c r="AG116" s="11"/>
      <c r="AH116" s="11"/>
      <c r="AI116" s="11"/>
      <c r="AJ116" s="11"/>
      <c r="AK116" s="11"/>
      <c r="AL116" s="11"/>
      <c r="AM116" s="11"/>
      <c r="AN116" s="11"/>
      <c r="AO116" s="11"/>
      <c r="AP116" s="11"/>
      <c r="AQ116" s="11"/>
      <c r="AR116" s="11"/>
      <c r="AS116" s="11"/>
      <c r="AT116" s="11"/>
      <c r="AU116" s="11"/>
      <c r="AV116" s="11"/>
      <c r="AW116" s="11"/>
      <c r="AX116" s="11"/>
      <c r="AY116" s="11"/>
      <c r="AZ116" s="11"/>
      <c r="BA116" s="11"/>
      <c r="BB116" s="11"/>
      <c r="BC116" s="11"/>
      <c r="BD116" s="11"/>
      <c r="BE116" s="11"/>
      <c r="BF116" s="11"/>
      <c r="BG116" s="11"/>
      <c r="BH116" s="11"/>
      <c r="BI116" s="11"/>
      <c r="BJ116" s="11"/>
      <c r="BK116" s="11"/>
      <c r="BL116" s="11"/>
      <c r="BM116" s="11"/>
      <c r="BN116" s="11"/>
      <c r="BO116" s="11"/>
      <c r="BP116" s="11"/>
      <c r="BQ116" s="11"/>
      <c r="BR116" s="11"/>
    </row>
    <row r="117" spans="2:70" x14ac:dyDescent="0.2">
      <c r="B117" s="11"/>
      <c r="C117" s="11"/>
      <c r="D117" s="11"/>
      <c r="E117" s="11"/>
      <c r="F117" s="11"/>
      <c r="G117" s="11"/>
      <c r="H117" s="11"/>
      <c r="I117" s="11"/>
      <c r="J117" s="11"/>
      <c r="K117" s="11"/>
      <c r="L117" s="11"/>
      <c r="M117" s="11"/>
      <c r="N117" s="11"/>
      <c r="O117" s="11"/>
      <c r="P117" s="11"/>
      <c r="Q117" s="11"/>
      <c r="R117" s="11"/>
      <c r="S117" s="11"/>
      <c r="T117" s="11"/>
      <c r="U117" s="11"/>
      <c r="V117" s="11"/>
      <c r="W117" s="11"/>
      <c r="X117" s="11"/>
      <c r="Y117" s="11"/>
      <c r="Z117" s="11"/>
      <c r="AA117" s="11"/>
      <c r="AB117" s="11"/>
      <c r="AC117" s="11"/>
      <c r="AD117" s="11"/>
      <c r="AE117" s="11"/>
      <c r="AF117" s="11"/>
      <c r="AG117" s="11"/>
      <c r="AH117" s="11"/>
      <c r="AI117" s="11"/>
      <c r="AJ117" s="11"/>
      <c r="AK117" s="11"/>
      <c r="AL117" s="11"/>
      <c r="AM117" s="11"/>
      <c r="AN117" s="11"/>
      <c r="AO117" s="11"/>
      <c r="AP117" s="11"/>
      <c r="AQ117" s="11"/>
      <c r="AR117" s="11"/>
      <c r="AS117" s="11"/>
      <c r="AT117" s="11"/>
      <c r="AU117" s="11"/>
      <c r="AV117" s="11"/>
      <c r="AW117" s="11"/>
      <c r="AX117" s="11"/>
      <c r="AY117" s="11"/>
      <c r="AZ117" s="11"/>
      <c r="BA117" s="11"/>
      <c r="BB117" s="11"/>
      <c r="BC117" s="11"/>
      <c r="BD117" s="11"/>
      <c r="BE117" s="11"/>
      <c r="BF117" s="11"/>
      <c r="BG117" s="11"/>
      <c r="BH117" s="11"/>
      <c r="BI117" s="11"/>
      <c r="BJ117" s="11"/>
      <c r="BK117" s="11"/>
      <c r="BL117" s="11"/>
      <c r="BM117" s="11"/>
      <c r="BN117" s="11"/>
      <c r="BO117" s="11"/>
      <c r="BP117" s="11"/>
      <c r="BQ117" s="11"/>
      <c r="BR117" s="11"/>
    </row>
    <row r="118" spans="2:70" x14ac:dyDescent="0.2">
      <c r="B118" s="11"/>
      <c r="C118" s="11"/>
      <c r="D118" s="11"/>
      <c r="E118" s="11"/>
      <c r="F118" s="11"/>
      <c r="G118" s="11"/>
      <c r="H118" s="11"/>
      <c r="I118" s="11"/>
      <c r="J118" s="11"/>
      <c r="K118" s="11"/>
      <c r="L118" s="11"/>
      <c r="M118" s="11"/>
      <c r="N118" s="11"/>
      <c r="O118" s="11"/>
      <c r="P118" s="11"/>
      <c r="Q118" s="11"/>
      <c r="R118" s="11"/>
      <c r="S118" s="11"/>
      <c r="T118" s="11"/>
      <c r="U118" s="11"/>
      <c r="V118" s="11"/>
      <c r="W118" s="11"/>
      <c r="X118" s="11"/>
      <c r="Y118" s="11"/>
      <c r="Z118" s="11"/>
      <c r="AA118" s="11"/>
      <c r="AB118" s="11"/>
      <c r="AC118" s="11"/>
      <c r="AD118" s="11"/>
      <c r="AE118" s="11"/>
      <c r="AF118" s="11"/>
      <c r="AG118" s="11"/>
      <c r="AH118" s="11"/>
      <c r="AI118" s="11"/>
      <c r="AJ118" s="11"/>
      <c r="AK118" s="11"/>
      <c r="AL118" s="11"/>
      <c r="AM118" s="11"/>
      <c r="AN118" s="11"/>
      <c r="AO118" s="11"/>
      <c r="AP118" s="11"/>
      <c r="AQ118" s="11"/>
      <c r="AR118" s="11"/>
      <c r="AS118" s="11"/>
      <c r="AT118" s="11"/>
      <c r="AU118" s="11"/>
      <c r="AV118" s="11"/>
      <c r="AW118" s="11"/>
      <c r="AX118" s="11"/>
      <c r="AY118" s="11"/>
      <c r="AZ118" s="11"/>
      <c r="BA118" s="11"/>
      <c r="BB118" s="11"/>
      <c r="BC118" s="11"/>
      <c r="BD118" s="11"/>
      <c r="BE118" s="11"/>
      <c r="BF118" s="11"/>
      <c r="BG118" s="11"/>
      <c r="BH118" s="11"/>
      <c r="BI118" s="11"/>
      <c r="BJ118" s="11"/>
      <c r="BK118" s="11"/>
      <c r="BL118" s="11"/>
      <c r="BM118" s="11"/>
      <c r="BN118" s="11"/>
      <c r="BO118" s="11"/>
      <c r="BP118" s="11"/>
      <c r="BQ118" s="11"/>
      <c r="BR118" s="11"/>
    </row>
    <row r="119" spans="2:70" x14ac:dyDescent="0.2">
      <c r="B119" s="11"/>
      <c r="C119" s="11"/>
      <c r="D119" s="11"/>
      <c r="E119" s="11"/>
      <c r="F119" s="11"/>
      <c r="G119" s="11"/>
      <c r="H119" s="11"/>
      <c r="I119" s="11"/>
      <c r="J119" s="11"/>
      <c r="K119" s="11"/>
      <c r="L119" s="11"/>
      <c r="M119" s="11"/>
      <c r="N119" s="11"/>
      <c r="O119" s="11"/>
      <c r="P119" s="11"/>
      <c r="Q119" s="11"/>
      <c r="R119" s="11"/>
      <c r="S119" s="11"/>
      <c r="T119" s="11"/>
      <c r="U119" s="11"/>
      <c r="V119" s="11"/>
      <c r="W119" s="11"/>
      <c r="X119" s="11"/>
      <c r="Y119" s="11"/>
      <c r="Z119" s="11"/>
      <c r="AA119" s="11"/>
      <c r="AB119" s="11"/>
      <c r="AC119" s="11"/>
      <c r="AD119" s="11"/>
      <c r="AE119" s="11"/>
      <c r="AF119" s="11"/>
      <c r="AG119" s="11"/>
      <c r="AH119" s="11"/>
      <c r="AI119" s="11"/>
      <c r="AJ119" s="11"/>
      <c r="AK119" s="11"/>
      <c r="AL119" s="11"/>
      <c r="AM119" s="11"/>
      <c r="AN119" s="11"/>
      <c r="AO119" s="11"/>
      <c r="AP119" s="11"/>
      <c r="AQ119" s="11"/>
      <c r="AR119" s="11"/>
      <c r="AS119" s="11"/>
      <c r="AT119" s="11"/>
      <c r="AU119" s="11"/>
      <c r="AV119" s="11"/>
      <c r="AW119" s="11"/>
      <c r="AX119" s="11"/>
      <c r="AY119" s="11"/>
      <c r="AZ119" s="11"/>
      <c r="BA119" s="11"/>
      <c r="BB119" s="11"/>
      <c r="BC119" s="11"/>
      <c r="BD119" s="11"/>
      <c r="BE119" s="11"/>
      <c r="BF119" s="11"/>
      <c r="BG119" s="11"/>
      <c r="BH119" s="11"/>
      <c r="BI119" s="11"/>
      <c r="BJ119" s="11"/>
      <c r="BK119" s="11"/>
      <c r="BL119" s="11"/>
      <c r="BM119" s="11"/>
      <c r="BN119" s="11"/>
      <c r="BO119" s="11"/>
      <c r="BP119" s="11"/>
      <c r="BQ119" s="11"/>
      <c r="BR119" s="11"/>
    </row>
    <row r="120" spans="2:70" x14ac:dyDescent="0.2">
      <c r="B120" s="11"/>
      <c r="C120" s="11"/>
      <c r="D120" s="11"/>
      <c r="E120" s="11"/>
      <c r="F120" s="11"/>
      <c r="G120" s="11"/>
      <c r="H120" s="11"/>
      <c r="I120" s="11"/>
      <c r="J120" s="11"/>
      <c r="K120" s="11"/>
      <c r="L120" s="11"/>
      <c r="M120" s="11"/>
      <c r="N120" s="11"/>
      <c r="O120" s="11"/>
      <c r="P120" s="11"/>
      <c r="Q120" s="11"/>
      <c r="R120" s="11"/>
      <c r="S120" s="11"/>
      <c r="T120" s="11"/>
      <c r="U120" s="11"/>
      <c r="V120" s="11"/>
      <c r="W120" s="11"/>
      <c r="X120" s="11"/>
      <c r="Y120" s="11"/>
      <c r="Z120" s="11"/>
      <c r="AA120" s="11"/>
      <c r="AB120" s="11"/>
      <c r="AC120" s="11"/>
      <c r="AD120" s="11"/>
      <c r="AE120" s="11"/>
      <c r="AF120" s="11"/>
      <c r="AG120" s="11"/>
      <c r="AH120" s="11"/>
      <c r="AI120" s="11"/>
      <c r="AJ120" s="11"/>
      <c r="AK120" s="11"/>
      <c r="AL120" s="11"/>
      <c r="AM120" s="11"/>
      <c r="AN120" s="11"/>
      <c r="AO120" s="11"/>
      <c r="AP120" s="11"/>
      <c r="AQ120" s="11"/>
      <c r="AR120" s="11"/>
      <c r="AS120" s="11"/>
      <c r="AT120" s="11"/>
      <c r="AU120" s="11"/>
      <c r="AV120" s="11"/>
      <c r="AW120" s="11"/>
      <c r="AX120" s="11"/>
      <c r="AY120" s="11"/>
      <c r="AZ120" s="11"/>
      <c r="BA120" s="11"/>
      <c r="BB120" s="11"/>
      <c r="BC120" s="11"/>
      <c r="BD120" s="11"/>
      <c r="BE120" s="11"/>
      <c r="BF120" s="11"/>
      <c r="BG120" s="11"/>
      <c r="BH120" s="11"/>
      <c r="BI120" s="11"/>
      <c r="BJ120" s="11"/>
      <c r="BK120" s="11"/>
      <c r="BL120" s="11"/>
      <c r="BM120" s="11"/>
      <c r="BN120" s="11"/>
      <c r="BO120" s="11"/>
      <c r="BP120" s="11"/>
      <c r="BQ120" s="11"/>
      <c r="BR120" s="11"/>
    </row>
    <row r="121" spans="2:70" x14ac:dyDescent="0.2">
      <c r="B121" s="11"/>
      <c r="C121" s="11"/>
      <c r="D121" s="11"/>
      <c r="E121" s="11"/>
      <c r="F121" s="11"/>
      <c r="G121" s="11"/>
      <c r="H121" s="11"/>
      <c r="I121" s="11"/>
      <c r="J121" s="11"/>
      <c r="K121" s="11"/>
      <c r="L121" s="11"/>
      <c r="M121" s="11"/>
      <c r="N121" s="11"/>
      <c r="O121" s="11"/>
      <c r="P121" s="11"/>
      <c r="Q121" s="11"/>
      <c r="R121" s="11"/>
      <c r="S121" s="11"/>
      <c r="T121" s="11"/>
      <c r="U121" s="11"/>
      <c r="V121" s="11"/>
      <c r="W121" s="11"/>
      <c r="X121" s="11"/>
      <c r="Y121" s="11"/>
      <c r="Z121" s="11"/>
      <c r="AA121" s="11"/>
      <c r="AB121" s="11"/>
      <c r="AC121" s="11"/>
      <c r="AD121" s="11"/>
      <c r="AE121" s="11"/>
      <c r="AF121" s="11"/>
      <c r="AG121" s="11"/>
      <c r="AH121" s="11"/>
      <c r="AI121" s="11"/>
      <c r="AJ121" s="11"/>
      <c r="AK121" s="11"/>
      <c r="AL121" s="11"/>
      <c r="AM121" s="11"/>
      <c r="AN121" s="11"/>
      <c r="AO121" s="11"/>
      <c r="AP121" s="11"/>
      <c r="AQ121" s="11"/>
      <c r="AR121" s="11"/>
      <c r="AS121" s="11"/>
      <c r="AT121" s="11"/>
      <c r="AU121" s="11"/>
      <c r="AV121" s="11"/>
      <c r="AW121" s="11"/>
      <c r="AX121" s="11"/>
      <c r="AY121" s="11"/>
      <c r="AZ121" s="11"/>
      <c r="BA121" s="11"/>
      <c r="BB121" s="11"/>
      <c r="BC121" s="11"/>
      <c r="BD121" s="11"/>
      <c r="BE121" s="11"/>
      <c r="BF121" s="11"/>
      <c r="BG121" s="11"/>
      <c r="BH121" s="11"/>
      <c r="BI121" s="11"/>
      <c r="BJ121" s="11"/>
      <c r="BK121" s="11"/>
      <c r="BL121" s="11"/>
      <c r="BM121" s="11"/>
      <c r="BN121" s="11"/>
      <c r="BO121" s="11"/>
      <c r="BP121" s="11"/>
      <c r="BQ121" s="11"/>
      <c r="BR121" s="11"/>
    </row>
    <row r="122" spans="2:70" x14ac:dyDescent="0.2">
      <c r="B122" s="11"/>
      <c r="C122" s="11"/>
      <c r="D122" s="11"/>
      <c r="E122" s="11"/>
      <c r="F122" s="11"/>
      <c r="G122" s="11"/>
      <c r="H122" s="11"/>
      <c r="I122" s="11"/>
      <c r="J122" s="11"/>
      <c r="K122" s="11"/>
      <c r="L122" s="11"/>
      <c r="M122" s="11"/>
      <c r="N122" s="11"/>
      <c r="O122" s="11"/>
      <c r="P122" s="11"/>
      <c r="Q122" s="11"/>
      <c r="R122" s="11"/>
      <c r="S122" s="11"/>
      <c r="T122" s="11"/>
      <c r="U122" s="11"/>
      <c r="V122" s="11"/>
      <c r="W122" s="11"/>
      <c r="X122" s="11"/>
      <c r="Y122" s="11"/>
      <c r="Z122" s="11"/>
      <c r="AA122" s="11"/>
      <c r="AB122" s="11"/>
      <c r="AC122" s="11"/>
      <c r="AD122" s="11"/>
      <c r="AE122" s="11"/>
      <c r="AF122" s="11"/>
      <c r="AG122" s="11"/>
      <c r="AH122" s="11"/>
      <c r="AI122" s="11"/>
      <c r="AJ122" s="11"/>
      <c r="AK122" s="11"/>
      <c r="AL122" s="11"/>
      <c r="AM122" s="11"/>
      <c r="AN122" s="11"/>
      <c r="AO122" s="11"/>
      <c r="AP122" s="11"/>
      <c r="AQ122" s="11"/>
      <c r="AR122" s="11"/>
      <c r="AS122" s="11"/>
      <c r="AT122" s="11"/>
      <c r="AU122" s="11"/>
      <c r="AV122" s="11"/>
      <c r="AW122" s="11"/>
      <c r="AX122" s="11"/>
      <c r="AY122" s="11"/>
      <c r="AZ122" s="11"/>
      <c r="BA122" s="11"/>
      <c r="BB122" s="11"/>
      <c r="BC122" s="11"/>
      <c r="BD122" s="11"/>
      <c r="BE122" s="11"/>
      <c r="BF122" s="11"/>
      <c r="BG122" s="11"/>
      <c r="BH122" s="11"/>
      <c r="BI122" s="11"/>
      <c r="BJ122" s="11"/>
      <c r="BK122" s="11"/>
      <c r="BL122" s="11"/>
      <c r="BM122" s="11"/>
      <c r="BN122" s="11"/>
      <c r="BO122" s="11"/>
      <c r="BP122" s="11"/>
      <c r="BQ122" s="11"/>
      <c r="BR122" s="11"/>
    </row>
    <row r="123" spans="2:70" x14ac:dyDescent="0.2">
      <c r="B123" s="11"/>
      <c r="C123" s="11"/>
      <c r="D123" s="11"/>
      <c r="E123" s="11"/>
      <c r="F123" s="11"/>
      <c r="G123" s="11"/>
      <c r="H123" s="11"/>
      <c r="I123" s="11"/>
      <c r="J123" s="11"/>
      <c r="K123" s="11"/>
      <c r="L123" s="11"/>
      <c r="M123" s="11"/>
      <c r="N123" s="11"/>
      <c r="O123" s="11"/>
      <c r="P123" s="11"/>
      <c r="Q123" s="11"/>
      <c r="R123" s="11"/>
      <c r="S123" s="11"/>
      <c r="T123" s="11"/>
      <c r="U123" s="11"/>
      <c r="V123" s="11"/>
      <c r="W123" s="11"/>
      <c r="X123" s="11"/>
      <c r="Y123" s="11"/>
      <c r="Z123" s="11"/>
      <c r="AA123" s="11"/>
      <c r="AB123" s="11"/>
      <c r="AC123" s="11"/>
      <c r="AD123" s="11"/>
      <c r="AE123" s="11"/>
      <c r="AF123" s="11"/>
      <c r="AG123" s="11"/>
      <c r="AH123" s="11"/>
      <c r="AI123" s="11"/>
      <c r="AJ123" s="11"/>
      <c r="AK123" s="11"/>
      <c r="AL123" s="11"/>
      <c r="AM123" s="11"/>
      <c r="AN123" s="11"/>
      <c r="AO123" s="11"/>
      <c r="AP123" s="11"/>
      <c r="AQ123" s="11"/>
      <c r="AR123" s="11"/>
      <c r="AS123" s="11"/>
      <c r="AT123" s="11"/>
      <c r="AU123" s="11"/>
      <c r="AV123" s="11"/>
      <c r="AW123" s="11"/>
      <c r="AX123" s="11"/>
      <c r="AY123" s="11"/>
      <c r="AZ123" s="11"/>
      <c r="BA123" s="11"/>
      <c r="BB123" s="11"/>
      <c r="BC123" s="11"/>
      <c r="BD123" s="11"/>
      <c r="BE123" s="11"/>
      <c r="BF123" s="11"/>
      <c r="BG123" s="11"/>
      <c r="BH123" s="11"/>
      <c r="BI123" s="11"/>
      <c r="BJ123" s="11"/>
      <c r="BK123" s="11"/>
      <c r="BL123" s="11"/>
      <c r="BM123" s="11"/>
      <c r="BN123" s="11"/>
      <c r="BO123" s="11"/>
      <c r="BP123" s="11"/>
      <c r="BQ123" s="11"/>
      <c r="BR123" s="11"/>
    </row>
    <row r="124" spans="2:70" x14ac:dyDescent="0.2">
      <c r="B124" s="11"/>
      <c r="C124" s="11"/>
      <c r="D124" s="11"/>
      <c r="E124" s="11"/>
      <c r="F124" s="11"/>
      <c r="G124" s="11"/>
      <c r="H124" s="11"/>
      <c r="I124" s="11"/>
      <c r="J124" s="11"/>
      <c r="K124" s="11"/>
      <c r="L124" s="11"/>
      <c r="M124" s="11"/>
      <c r="N124" s="11"/>
      <c r="O124" s="11"/>
      <c r="P124" s="11"/>
      <c r="Q124" s="11"/>
      <c r="R124" s="11"/>
      <c r="S124" s="11"/>
      <c r="T124" s="11"/>
      <c r="U124" s="11"/>
      <c r="V124" s="11"/>
      <c r="W124" s="11"/>
      <c r="X124" s="11"/>
      <c r="Y124" s="11"/>
      <c r="Z124" s="11"/>
      <c r="AA124" s="11"/>
      <c r="AB124" s="11"/>
      <c r="AC124" s="11"/>
      <c r="AD124" s="11"/>
      <c r="AE124" s="11"/>
      <c r="AF124" s="11"/>
      <c r="AG124" s="11"/>
      <c r="AH124" s="11"/>
      <c r="AI124" s="11"/>
      <c r="AJ124" s="11"/>
      <c r="AK124" s="11"/>
      <c r="AL124" s="11"/>
      <c r="AM124" s="11"/>
      <c r="AN124" s="11"/>
      <c r="AO124" s="11"/>
      <c r="AP124" s="11"/>
      <c r="AQ124" s="11"/>
      <c r="AR124" s="11"/>
      <c r="AS124" s="11"/>
      <c r="AT124" s="11"/>
      <c r="AU124" s="11"/>
      <c r="AV124" s="11"/>
      <c r="AW124" s="11"/>
      <c r="AX124" s="11"/>
      <c r="AY124" s="11"/>
      <c r="AZ124" s="11"/>
      <c r="BA124" s="11"/>
      <c r="BB124" s="11"/>
      <c r="BC124" s="11"/>
      <c r="BD124" s="11"/>
      <c r="BE124" s="11"/>
      <c r="BF124" s="11"/>
      <c r="BG124" s="11"/>
      <c r="BH124" s="11"/>
      <c r="BI124" s="11"/>
      <c r="BJ124" s="11"/>
      <c r="BK124" s="11"/>
      <c r="BL124" s="11"/>
      <c r="BM124" s="11"/>
      <c r="BN124" s="11"/>
      <c r="BO124" s="11"/>
      <c r="BP124" s="11"/>
      <c r="BQ124" s="11"/>
      <c r="BR124" s="11"/>
    </row>
    <row r="125" spans="2:70" x14ac:dyDescent="0.2">
      <c r="B125" s="11"/>
      <c r="C125" s="11"/>
      <c r="D125" s="11"/>
      <c r="E125" s="11"/>
      <c r="F125" s="11"/>
      <c r="G125" s="11"/>
      <c r="H125" s="11"/>
      <c r="I125" s="11"/>
      <c r="J125" s="11"/>
      <c r="K125" s="11"/>
      <c r="L125" s="11"/>
      <c r="M125" s="11"/>
      <c r="N125" s="11"/>
      <c r="O125" s="11"/>
      <c r="P125" s="11"/>
      <c r="Q125" s="11"/>
      <c r="R125" s="11"/>
      <c r="S125" s="11"/>
      <c r="T125" s="11"/>
      <c r="U125" s="11"/>
      <c r="V125" s="11"/>
      <c r="W125" s="11"/>
      <c r="X125" s="11"/>
      <c r="Y125" s="11"/>
      <c r="Z125" s="11"/>
      <c r="AA125" s="11"/>
      <c r="AB125" s="11"/>
      <c r="AC125" s="11"/>
      <c r="AD125" s="11"/>
      <c r="AE125" s="11"/>
      <c r="AF125" s="11"/>
      <c r="AG125" s="11"/>
      <c r="AH125" s="11"/>
      <c r="AI125" s="11"/>
      <c r="AJ125" s="11"/>
      <c r="AK125" s="11"/>
      <c r="AL125" s="11"/>
      <c r="AM125" s="11"/>
      <c r="AN125" s="11"/>
      <c r="AO125" s="11"/>
      <c r="AP125" s="11"/>
      <c r="AQ125" s="11"/>
      <c r="AR125" s="11"/>
      <c r="AS125" s="11"/>
      <c r="AT125" s="11"/>
      <c r="AU125" s="11"/>
      <c r="AV125" s="11"/>
      <c r="AW125" s="11"/>
      <c r="AX125" s="11"/>
      <c r="AY125" s="11"/>
      <c r="AZ125" s="11"/>
      <c r="BA125" s="11"/>
      <c r="BB125" s="11"/>
      <c r="BC125" s="11"/>
      <c r="BD125" s="11"/>
      <c r="BE125" s="11"/>
      <c r="BF125" s="11"/>
      <c r="BG125" s="11"/>
      <c r="BH125" s="11"/>
      <c r="BI125" s="11"/>
      <c r="BJ125" s="11"/>
      <c r="BK125" s="11"/>
      <c r="BL125" s="11"/>
      <c r="BM125" s="11"/>
      <c r="BN125" s="11"/>
      <c r="BO125" s="11"/>
      <c r="BP125" s="11"/>
      <c r="BQ125" s="11"/>
      <c r="BR125" s="11"/>
    </row>
    <row r="126" spans="2:70" x14ac:dyDescent="0.2">
      <c r="B126" s="11"/>
      <c r="C126" s="11"/>
      <c r="D126" s="11"/>
      <c r="E126" s="11"/>
      <c r="F126" s="11"/>
      <c r="G126" s="11"/>
      <c r="H126" s="11"/>
      <c r="I126" s="11"/>
      <c r="J126" s="11"/>
      <c r="K126" s="11"/>
      <c r="L126" s="11"/>
      <c r="M126" s="11"/>
      <c r="N126" s="11"/>
      <c r="O126" s="11"/>
      <c r="P126" s="11"/>
      <c r="Q126" s="11"/>
      <c r="R126" s="11"/>
      <c r="S126" s="11"/>
      <c r="T126" s="11"/>
      <c r="U126" s="11"/>
      <c r="V126" s="11"/>
      <c r="W126" s="11"/>
      <c r="X126" s="11"/>
      <c r="Y126" s="11"/>
      <c r="Z126" s="11"/>
      <c r="AA126" s="11"/>
      <c r="AB126" s="11"/>
      <c r="AC126" s="11"/>
      <c r="AD126" s="11"/>
      <c r="AE126" s="11"/>
      <c r="AF126" s="11"/>
      <c r="AG126" s="11"/>
      <c r="AH126" s="11"/>
      <c r="AI126" s="11"/>
      <c r="AJ126" s="11"/>
      <c r="AK126" s="11"/>
      <c r="AL126" s="11"/>
      <c r="AM126" s="11"/>
      <c r="AN126" s="11"/>
      <c r="AO126" s="11"/>
      <c r="AP126" s="11"/>
      <c r="AQ126" s="11"/>
      <c r="AR126" s="11"/>
      <c r="AS126" s="11"/>
      <c r="AT126" s="11"/>
      <c r="AU126" s="11"/>
      <c r="AV126" s="11"/>
      <c r="AW126" s="11"/>
      <c r="AX126" s="11"/>
      <c r="AY126" s="11"/>
      <c r="AZ126" s="11"/>
      <c r="BA126" s="11"/>
      <c r="BB126" s="11"/>
      <c r="BC126" s="11"/>
      <c r="BD126" s="11"/>
      <c r="BE126" s="11"/>
      <c r="BF126" s="11"/>
      <c r="BG126" s="11"/>
      <c r="BH126" s="11"/>
      <c r="BI126" s="11"/>
      <c r="BJ126" s="11"/>
      <c r="BK126" s="11"/>
      <c r="BL126" s="11"/>
      <c r="BM126" s="11"/>
      <c r="BN126" s="11"/>
      <c r="BO126" s="11"/>
      <c r="BP126" s="11"/>
      <c r="BQ126" s="11"/>
      <c r="BR126" s="11"/>
    </row>
    <row r="127" spans="2:70" x14ac:dyDescent="0.2">
      <c r="B127" s="11"/>
      <c r="C127" s="11"/>
      <c r="D127" s="11"/>
      <c r="E127" s="11"/>
      <c r="F127" s="11"/>
      <c r="G127" s="11"/>
      <c r="H127" s="11"/>
      <c r="I127" s="11"/>
      <c r="J127" s="11"/>
      <c r="K127" s="11"/>
      <c r="L127" s="11"/>
      <c r="M127" s="11"/>
      <c r="N127" s="11"/>
      <c r="O127" s="11"/>
      <c r="P127" s="11"/>
      <c r="Q127" s="11"/>
      <c r="R127" s="11"/>
      <c r="S127" s="11"/>
      <c r="T127" s="11"/>
      <c r="U127" s="11"/>
      <c r="V127" s="11"/>
      <c r="W127" s="11"/>
      <c r="X127" s="11"/>
      <c r="Y127" s="11"/>
      <c r="Z127" s="11"/>
      <c r="AA127" s="11"/>
      <c r="AB127" s="11"/>
      <c r="AC127" s="11"/>
      <c r="AD127" s="11"/>
      <c r="AE127" s="11"/>
      <c r="AF127" s="11"/>
      <c r="AG127" s="11"/>
      <c r="AH127" s="11"/>
      <c r="AI127" s="11"/>
      <c r="AJ127" s="11"/>
      <c r="AK127" s="11"/>
      <c r="AL127" s="11"/>
      <c r="AM127" s="11"/>
      <c r="AN127" s="11"/>
      <c r="AO127" s="11"/>
      <c r="AP127" s="11"/>
      <c r="AQ127" s="11"/>
      <c r="AR127" s="11"/>
      <c r="AS127" s="11"/>
      <c r="AT127" s="11"/>
      <c r="AU127" s="11"/>
      <c r="AV127" s="11"/>
      <c r="AW127" s="11"/>
      <c r="AX127" s="11"/>
      <c r="AY127" s="11"/>
      <c r="AZ127" s="11"/>
      <c r="BA127" s="11"/>
      <c r="BB127" s="11"/>
      <c r="BC127" s="11"/>
      <c r="BD127" s="11"/>
      <c r="BE127" s="11"/>
      <c r="BF127" s="11"/>
      <c r="BG127" s="11"/>
      <c r="BH127" s="11"/>
      <c r="BI127" s="11"/>
      <c r="BJ127" s="11"/>
      <c r="BK127" s="11"/>
      <c r="BL127" s="11"/>
      <c r="BM127" s="11"/>
      <c r="BN127" s="11"/>
      <c r="BO127" s="11"/>
      <c r="BP127" s="11"/>
      <c r="BQ127" s="11"/>
      <c r="BR127" s="11"/>
    </row>
    <row r="128" spans="2:70" x14ac:dyDescent="0.2">
      <c r="B128" s="11"/>
      <c r="C128" s="11"/>
      <c r="D128" s="11"/>
      <c r="E128" s="11"/>
      <c r="F128" s="11"/>
      <c r="G128" s="11"/>
      <c r="H128" s="11"/>
      <c r="I128" s="11"/>
      <c r="J128" s="11"/>
      <c r="K128" s="11"/>
      <c r="L128" s="11"/>
      <c r="M128" s="11"/>
      <c r="N128" s="11"/>
      <c r="O128" s="11"/>
      <c r="P128" s="11"/>
      <c r="Q128" s="11"/>
      <c r="R128" s="11"/>
      <c r="S128" s="11"/>
      <c r="T128" s="11"/>
      <c r="U128" s="11"/>
      <c r="V128" s="11"/>
      <c r="W128" s="11"/>
      <c r="X128" s="11"/>
      <c r="Y128" s="11"/>
      <c r="Z128" s="11"/>
      <c r="AA128" s="11"/>
      <c r="AB128" s="11"/>
      <c r="AC128" s="11"/>
      <c r="AD128" s="11"/>
      <c r="AE128" s="11"/>
      <c r="AF128" s="11"/>
      <c r="AG128" s="11"/>
      <c r="AH128" s="11"/>
      <c r="AI128" s="11"/>
      <c r="AJ128" s="11"/>
      <c r="AK128" s="11"/>
      <c r="AL128" s="11"/>
      <c r="AM128" s="11"/>
      <c r="AN128" s="11"/>
      <c r="AO128" s="11"/>
      <c r="AP128" s="11"/>
      <c r="AQ128" s="11"/>
      <c r="AR128" s="11"/>
      <c r="AS128" s="11"/>
      <c r="AT128" s="11"/>
      <c r="AU128" s="11"/>
      <c r="AV128" s="11"/>
      <c r="AW128" s="11"/>
      <c r="AX128" s="11"/>
      <c r="AY128" s="11"/>
      <c r="AZ128" s="11"/>
      <c r="BA128" s="11"/>
      <c r="BB128" s="11"/>
      <c r="BC128" s="11"/>
      <c r="BD128" s="11"/>
      <c r="BE128" s="11"/>
      <c r="BF128" s="11"/>
      <c r="BG128" s="11"/>
      <c r="BH128" s="11"/>
      <c r="BI128" s="11"/>
      <c r="BJ128" s="11"/>
      <c r="BK128" s="11"/>
      <c r="BL128" s="11"/>
      <c r="BM128" s="11"/>
      <c r="BN128" s="11"/>
      <c r="BO128" s="11"/>
      <c r="BP128" s="11"/>
      <c r="BQ128" s="11"/>
      <c r="BR128" s="11"/>
    </row>
    <row r="129" spans="2:70" x14ac:dyDescent="0.2">
      <c r="B129" s="11"/>
      <c r="C129" s="11"/>
      <c r="D129" s="11"/>
      <c r="E129" s="11"/>
      <c r="F129" s="11"/>
      <c r="G129" s="11"/>
      <c r="H129" s="11"/>
      <c r="I129" s="11"/>
      <c r="J129" s="11"/>
      <c r="K129" s="11"/>
      <c r="L129" s="11"/>
      <c r="M129" s="11"/>
      <c r="N129" s="11"/>
      <c r="O129" s="11"/>
      <c r="P129" s="11"/>
      <c r="Q129" s="11"/>
      <c r="R129" s="11"/>
      <c r="S129" s="11"/>
      <c r="T129" s="11"/>
      <c r="U129" s="11"/>
      <c r="V129" s="11"/>
      <c r="W129" s="11"/>
      <c r="X129" s="11"/>
      <c r="Y129" s="11"/>
      <c r="Z129" s="11"/>
      <c r="AA129" s="11"/>
      <c r="AB129" s="11"/>
      <c r="AC129" s="11"/>
      <c r="AD129" s="11"/>
      <c r="AE129" s="11"/>
      <c r="AF129" s="11"/>
      <c r="AG129" s="11"/>
      <c r="AH129" s="11"/>
      <c r="AI129" s="11"/>
      <c r="AJ129" s="11"/>
      <c r="AK129" s="11"/>
      <c r="AL129" s="11"/>
      <c r="AM129" s="11"/>
      <c r="AN129" s="11"/>
      <c r="AO129" s="11"/>
      <c r="AP129" s="11"/>
      <c r="AQ129" s="11"/>
      <c r="AR129" s="11"/>
      <c r="AS129" s="11"/>
      <c r="AT129" s="11"/>
      <c r="AU129" s="11"/>
      <c r="AV129" s="11"/>
      <c r="AW129" s="11"/>
      <c r="AX129" s="11"/>
      <c r="AY129" s="11"/>
      <c r="AZ129" s="11"/>
      <c r="BA129" s="11"/>
      <c r="BB129" s="11"/>
      <c r="BC129" s="11"/>
      <c r="BD129" s="11"/>
      <c r="BE129" s="11"/>
      <c r="BF129" s="11"/>
      <c r="BG129" s="11"/>
      <c r="BH129" s="11"/>
      <c r="BI129" s="11"/>
      <c r="BJ129" s="11"/>
      <c r="BK129" s="11"/>
      <c r="BL129" s="11"/>
      <c r="BM129" s="11"/>
      <c r="BN129" s="11"/>
      <c r="BO129" s="11"/>
      <c r="BP129" s="11"/>
      <c r="BQ129" s="11"/>
      <c r="BR129" s="11"/>
    </row>
    <row r="130" spans="2:70" x14ac:dyDescent="0.2">
      <c r="B130" s="11"/>
      <c r="C130" s="11"/>
      <c r="D130" s="11"/>
      <c r="E130" s="11"/>
      <c r="F130" s="11"/>
      <c r="G130" s="11"/>
      <c r="H130" s="11"/>
      <c r="I130" s="11"/>
      <c r="J130" s="11"/>
      <c r="K130" s="11"/>
      <c r="L130" s="11"/>
      <c r="M130" s="11"/>
      <c r="N130" s="11"/>
      <c r="O130" s="11"/>
      <c r="P130" s="11"/>
      <c r="Q130" s="11"/>
      <c r="R130" s="11"/>
      <c r="S130" s="11"/>
      <c r="T130" s="11"/>
      <c r="U130" s="11"/>
      <c r="V130" s="11"/>
      <c r="W130" s="11"/>
      <c r="X130" s="11"/>
      <c r="Y130" s="11"/>
      <c r="Z130" s="11"/>
      <c r="AA130" s="11"/>
      <c r="AB130" s="11"/>
      <c r="AC130" s="11"/>
      <c r="AD130" s="11"/>
      <c r="AE130" s="11"/>
      <c r="AF130" s="11"/>
      <c r="AG130" s="11"/>
      <c r="AH130" s="11"/>
      <c r="AI130" s="11"/>
      <c r="AJ130" s="11"/>
      <c r="AK130" s="11"/>
      <c r="AL130" s="11"/>
      <c r="AM130" s="11"/>
      <c r="AN130" s="11"/>
      <c r="AO130" s="11"/>
      <c r="AP130" s="11"/>
      <c r="AQ130" s="11"/>
      <c r="AR130" s="11"/>
      <c r="AS130" s="11"/>
      <c r="AT130" s="11"/>
      <c r="AU130" s="11"/>
      <c r="AV130" s="11"/>
      <c r="AW130" s="11"/>
      <c r="AX130" s="11"/>
      <c r="AY130" s="11"/>
      <c r="AZ130" s="11"/>
      <c r="BA130" s="11"/>
      <c r="BB130" s="11"/>
      <c r="BC130" s="11"/>
      <c r="BD130" s="11"/>
      <c r="BE130" s="11"/>
      <c r="BF130" s="11"/>
      <c r="BG130" s="11"/>
      <c r="BH130" s="11"/>
      <c r="BI130" s="11"/>
      <c r="BJ130" s="11"/>
      <c r="BK130" s="11"/>
      <c r="BL130" s="11"/>
      <c r="BM130" s="11"/>
      <c r="BN130" s="11"/>
      <c r="BO130" s="11"/>
      <c r="BP130" s="11"/>
      <c r="BQ130" s="11"/>
      <c r="BR130" s="11"/>
    </row>
    <row r="131" spans="2:70" x14ac:dyDescent="0.2">
      <c r="B131" s="11"/>
      <c r="C131" s="11"/>
      <c r="D131" s="11"/>
      <c r="E131" s="11"/>
      <c r="F131" s="11"/>
      <c r="G131" s="11"/>
      <c r="H131" s="11"/>
      <c r="I131" s="11"/>
      <c r="J131" s="11"/>
      <c r="K131" s="11"/>
      <c r="L131" s="11"/>
      <c r="M131" s="11"/>
      <c r="N131" s="11"/>
      <c r="O131" s="11"/>
      <c r="P131" s="11"/>
      <c r="Q131" s="11"/>
      <c r="R131" s="11"/>
      <c r="S131" s="11"/>
      <c r="T131" s="11"/>
      <c r="U131" s="11"/>
      <c r="V131" s="11"/>
      <c r="W131" s="11"/>
      <c r="X131" s="11"/>
      <c r="Y131" s="11"/>
      <c r="Z131" s="11"/>
      <c r="AA131" s="11"/>
      <c r="AB131" s="11"/>
      <c r="AC131" s="11"/>
      <c r="AD131" s="11"/>
      <c r="AE131" s="11"/>
      <c r="AF131" s="11"/>
      <c r="AG131" s="11"/>
      <c r="AH131" s="11"/>
      <c r="AI131" s="11"/>
      <c r="AJ131" s="11"/>
      <c r="AK131" s="11"/>
      <c r="AL131" s="11"/>
      <c r="AM131" s="11"/>
      <c r="AN131" s="11"/>
      <c r="AO131" s="11"/>
      <c r="AP131" s="11"/>
      <c r="AQ131" s="11"/>
      <c r="AR131" s="11"/>
      <c r="AS131" s="11"/>
      <c r="AT131" s="11"/>
      <c r="AU131" s="11"/>
      <c r="AV131" s="11"/>
      <c r="AW131" s="11"/>
      <c r="AX131" s="11"/>
      <c r="AY131" s="11"/>
      <c r="AZ131" s="11"/>
      <c r="BA131" s="11"/>
      <c r="BB131" s="11"/>
      <c r="BC131" s="11"/>
      <c r="BD131" s="11"/>
      <c r="BE131" s="11"/>
      <c r="BF131" s="11"/>
      <c r="BG131" s="11"/>
      <c r="BH131" s="11"/>
      <c r="BI131" s="11"/>
      <c r="BJ131" s="11"/>
      <c r="BK131" s="11"/>
      <c r="BL131" s="11"/>
      <c r="BM131" s="11"/>
      <c r="BN131" s="11"/>
      <c r="BO131" s="11"/>
      <c r="BP131" s="11"/>
      <c r="BQ131" s="11"/>
      <c r="BR131" s="11"/>
    </row>
    <row r="132" spans="2:70" x14ac:dyDescent="0.2">
      <c r="B132" s="11"/>
      <c r="C132" s="11"/>
      <c r="D132" s="11"/>
      <c r="E132" s="11"/>
      <c r="F132" s="11"/>
      <c r="G132" s="11"/>
      <c r="H132" s="11"/>
      <c r="I132" s="11"/>
      <c r="J132" s="11"/>
      <c r="K132" s="11"/>
      <c r="L132" s="11"/>
      <c r="M132" s="11"/>
      <c r="N132" s="11"/>
      <c r="O132" s="11"/>
      <c r="P132" s="11"/>
      <c r="Q132" s="11"/>
      <c r="R132" s="11"/>
      <c r="S132" s="11"/>
      <c r="T132" s="11"/>
      <c r="U132" s="11"/>
      <c r="V132" s="11"/>
      <c r="W132" s="11"/>
      <c r="X132" s="11"/>
      <c r="Y132" s="11"/>
      <c r="Z132" s="11"/>
      <c r="AA132" s="11"/>
      <c r="AB132" s="11"/>
      <c r="AC132" s="11"/>
      <c r="AD132" s="11"/>
      <c r="AE132" s="11"/>
      <c r="AF132" s="11"/>
      <c r="AG132" s="11"/>
      <c r="AH132" s="11"/>
      <c r="AI132" s="11"/>
      <c r="AJ132" s="11"/>
      <c r="AK132" s="11"/>
      <c r="AL132" s="11"/>
      <c r="AM132" s="11"/>
      <c r="AN132" s="11"/>
      <c r="AO132" s="11"/>
      <c r="AP132" s="11"/>
      <c r="AQ132" s="11"/>
      <c r="AR132" s="11"/>
      <c r="AS132" s="11"/>
      <c r="AT132" s="11"/>
      <c r="AU132" s="11"/>
      <c r="AV132" s="11"/>
      <c r="AW132" s="11"/>
      <c r="AX132" s="11"/>
      <c r="AY132" s="11"/>
      <c r="AZ132" s="11"/>
      <c r="BA132" s="11"/>
      <c r="BB132" s="11"/>
      <c r="BC132" s="11"/>
      <c r="BD132" s="11"/>
      <c r="BE132" s="11"/>
      <c r="BF132" s="11"/>
      <c r="BG132" s="11"/>
      <c r="BH132" s="11"/>
      <c r="BI132" s="11"/>
      <c r="BJ132" s="11"/>
      <c r="BK132" s="11"/>
      <c r="BL132" s="11"/>
      <c r="BM132" s="11"/>
      <c r="BN132" s="11"/>
      <c r="BO132" s="11"/>
      <c r="BP132" s="11"/>
      <c r="BQ132" s="11"/>
      <c r="BR132" s="11"/>
    </row>
    <row r="133" spans="2:70" x14ac:dyDescent="0.2">
      <c r="B133" s="11"/>
      <c r="C133" s="11"/>
      <c r="D133" s="11"/>
      <c r="E133" s="11"/>
      <c r="F133" s="11"/>
      <c r="G133" s="11"/>
      <c r="H133" s="11"/>
      <c r="I133" s="11"/>
      <c r="J133" s="11"/>
      <c r="K133" s="11"/>
      <c r="L133" s="11"/>
      <c r="M133" s="11"/>
      <c r="N133" s="11"/>
      <c r="O133" s="11"/>
      <c r="P133" s="11"/>
      <c r="Q133" s="11"/>
      <c r="R133" s="11"/>
      <c r="S133" s="11"/>
      <c r="T133" s="11"/>
      <c r="U133" s="11"/>
      <c r="V133" s="11"/>
      <c r="W133" s="11"/>
      <c r="X133" s="11"/>
      <c r="Y133" s="11"/>
      <c r="Z133" s="11"/>
      <c r="AA133" s="11"/>
      <c r="AB133" s="11"/>
      <c r="AC133" s="11"/>
      <c r="AD133" s="11"/>
      <c r="AE133" s="11"/>
      <c r="AF133" s="11"/>
      <c r="AG133" s="11"/>
      <c r="AH133" s="11"/>
      <c r="AI133" s="11"/>
      <c r="AJ133" s="11"/>
      <c r="AK133" s="11"/>
      <c r="AL133" s="11"/>
      <c r="AM133" s="11"/>
      <c r="AN133" s="11"/>
      <c r="AO133" s="11"/>
      <c r="AP133" s="11"/>
      <c r="AQ133" s="11"/>
      <c r="AR133" s="11"/>
      <c r="AS133" s="11"/>
      <c r="AT133" s="11"/>
      <c r="AU133" s="11"/>
      <c r="AV133" s="11"/>
      <c r="AW133" s="11"/>
      <c r="AX133" s="11"/>
      <c r="AY133" s="11"/>
      <c r="AZ133" s="11"/>
      <c r="BA133" s="11"/>
      <c r="BB133" s="11"/>
      <c r="BC133" s="11"/>
      <c r="BD133" s="11"/>
      <c r="BE133" s="11"/>
      <c r="BF133" s="11"/>
      <c r="BG133" s="11"/>
      <c r="BH133" s="11"/>
      <c r="BI133" s="11"/>
      <c r="BJ133" s="11"/>
      <c r="BK133" s="11"/>
      <c r="BL133" s="11"/>
      <c r="BM133" s="11"/>
      <c r="BN133" s="11"/>
      <c r="BO133" s="11"/>
      <c r="BP133" s="11"/>
      <c r="BQ133" s="11"/>
      <c r="BR133" s="11"/>
    </row>
    <row r="134" spans="2:70" x14ac:dyDescent="0.2">
      <c r="B134" s="11"/>
      <c r="C134" s="11"/>
      <c r="D134" s="11"/>
      <c r="E134" s="11"/>
      <c r="F134" s="11"/>
      <c r="G134" s="11"/>
      <c r="H134" s="11"/>
      <c r="I134" s="11"/>
      <c r="J134" s="11"/>
      <c r="K134" s="11"/>
      <c r="L134" s="11"/>
      <c r="M134" s="11"/>
      <c r="N134" s="11"/>
      <c r="O134" s="11"/>
      <c r="P134" s="11"/>
      <c r="Q134" s="11"/>
      <c r="R134" s="11"/>
      <c r="S134" s="11"/>
      <c r="T134" s="11"/>
      <c r="U134" s="11"/>
      <c r="V134" s="11"/>
      <c r="W134" s="11"/>
      <c r="X134" s="11"/>
      <c r="Y134" s="11"/>
      <c r="Z134" s="11"/>
      <c r="AA134" s="11"/>
      <c r="AB134" s="11"/>
      <c r="AC134" s="11"/>
      <c r="AD134" s="11"/>
      <c r="AE134" s="11"/>
      <c r="AF134" s="11"/>
      <c r="AG134" s="11"/>
      <c r="AH134" s="11"/>
      <c r="AI134" s="11"/>
      <c r="AJ134" s="11"/>
      <c r="AK134" s="11"/>
      <c r="AL134" s="11"/>
      <c r="AM134" s="11"/>
      <c r="AN134" s="11"/>
      <c r="AO134" s="11"/>
      <c r="AP134" s="11"/>
      <c r="AQ134" s="11"/>
      <c r="AR134" s="11"/>
      <c r="AS134" s="11"/>
      <c r="AT134" s="11"/>
      <c r="AU134" s="11"/>
      <c r="AV134" s="11"/>
      <c r="AW134" s="11"/>
      <c r="AX134" s="11"/>
      <c r="AY134" s="11"/>
      <c r="AZ134" s="11"/>
      <c r="BA134" s="11"/>
      <c r="BB134" s="11"/>
      <c r="BC134" s="11"/>
      <c r="BD134" s="11"/>
      <c r="BE134" s="11"/>
      <c r="BF134" s="11"/>
      <c r="BG134" s="11"/>
      <c r="BH134" s="11"/>
      <c r="BI134" s="11"/>
      <c r="BJ134" s="11"/>
      <c r="BK134" s="11"/>
      <c r="BL134" s="11"/>
      <c r="BM134" s="11"/>
      <c r="BN134" s="11"/>
      <c r="BO134" s="11"/>
      <c r="BP134" s="11"/>
      <c r="BQ134" s="11"/>
      <c r="BR134" s="11"/>
    </row>
    <row r="135" spans="2:70" x14ac:dyDescent="0.2">
      <c r="B135" s="11"/>
      <c r="C135" s="11"/>
      <c r="D135" s="11"/>
      <c r="E135" s="11"/>
      <c r="F135" s="11"/>
      <c r="G135" s="11"/>
      <c r="H135" s="11"/>
      <c r="I135" s="11"/>
      <c r="J135" s="11"/>
      <c r="K135" s="11"/>
      <c r="L135" s="11"/>
      <c r="M135" s="11"/>
      <c r="N135" s="11"/>
      <c r="O135" s="11"/>
      <c r="P135" s="11"/>
      <c r="Q135" s="11"/>
      <c r="R135" s="11"/>
      <c r="S135" s="11"/>
      <c r="T135" s="11"/>
      <c r="U135" s="11"/>
      <c r="V135" s="11"/>
      <c r="W135" s="11"/>
      <c r="X135" s="11"/>
      <c r="Y135" s="11"/>
      <c r="Z135" s="11"/>
      <c r="AA135" s="11"/>
      <c r="AB135" s="11"/>
      <c r="AC135" s="11"/>
      <c r="AD135" s="11"/>
      <c r="AE135" s="11"/>
      <c r="AF135" s="11"/>
      <c r="AG135" s="11"/>
      <c r="AH135" s="11"/>
      <c r="AI135" s="11"/>
      <c r="AJ135" s="11"/>
      <c r="AK135" s="11"/>
      <c r="AL135" s="11"/>
      <c r="AM135" s="11"/>
      <c r="AN135" s="11"/>
      <c r="AO135" s="11"/>
      <c r="AP135" s="11"/>
      <c r="AQ135" s="11"/>
      <c r="AR135" s="11"/>
      <c r="AS135" s="11"/>
      <c r="AT135" s="11"/>
      <c r="AU135" s="11"/>
      <c r="AV135" s="11"/>
      <c r="AW135" s="11"/>
      <c r="AX135" s="11"/>
      <c r="AY135" s="11"/>
      <c r="AZ135" s="11"/>
      <c r="BA135" s="11"/>
      <c r="BB135" s="11"/>
      <c r="BC135" s="11"/>
      <c r="BD135" s="11"/>
      <c r="BE135" s="11"/>
      <c r="BF135" s="11"/>
      <c r="BG135" s="11"/>
      <c r="BH135" s="11"/>
      <c r="BI135" s="11"/>
      <c r="BJ135" s="11"/>
      <c r="BK135" s="11"/>
      <c r="BL135" s="11"/>
      <c r="BM135" s="11"/>
      <c r="BN135" s="11"/>
      <c r="BO135" s="11"/>
      <c r="BP135" s="11"/>
      <c r="BQ135" s="11"/>
      <c r="BR135" s="11"/>
    </row>
    <row r="136" spans="2:70" x14ac:dyDescent="0.2">
      <c r="B136" s="11"/>
      <c r="C136" s="11"/>
      <c r="D136" s="11"/>
      <c r="E136" s="11"/>
      <c r="F136" s="11"/>
      <c r="G136" s="11"/>
      <c r="H136" s="11"/>
      <c r="I136" s="11"/>
      <c r="J136" s="11"/>
      <c r="K136" s="11"/>
      <c r="L136" s="11"/>
      <c r="M136" s="11"/>
      <c r="N136" s="11"/>
      <c r="O136" s="11"/>
      <c r="P136" s="11"/>
      <c r="Q136" s="11"/>
      <c r="R136" s="11"/>
      <c r="S136" s="11"/>
      <c r="T136" s="11"/>
      <c r="U136" s="11"/>
      <c r="V136" s="11"/>
      <c r="W136" s="11"/>
      <c r="X136" s="11"/>
      <c r="Y136" s="11"/>
      <c r="Z136" s="11"/>
      <c r="AA136" s="11"/>
      <c r="AB136" s="11"/>
      <c r="AC136" s="11"/>
      <c r="AD136" s="11"/>
      <c r="AE136" s="11"/>
      <c r="AF136" s="11"/>
      <c r="AG136" s="11"/>
      <c r="AH136" s="11"/>
      <c r="AI136" s="11"/>
      <c r="AJ136" s="11"/>
      <c r="AK136" s="11"/>
      <c r="AL136" s="11"/>
      <c r="AM136" s="11"/>
      <c r="AN136" s="11"/>
      <c r="AO136" s="11"/>
      <c r="AP136" s="11"/>
      <c r="AQ136" s="11"/>
      <c r="AR136" s="11"/>
      <c r="AS136" s="11"/>
      <c r="AT136" s="11"/>
      <c r="AU136" s="11"/>
      <c r="AV136" s="11"/>
      <c r="AW136" s="11"/>
      <c r="AX136" s="11"/>
      <c r="AY136" s="11"/>
      <c r="AZ136" s="11"/>
      <c r="BA136" s="11"/>
      <c r="BB136" s="11"/>
      <c r="BC136" s="11"/>
      <c r="BD136" s="11"/>
      <c r="BE136" s="11"/>
      <c r="BF136" s="11"/>
      <c r="BG136" s="11"/>
      <c r="BH136" s="11"/>
      <c r="BI136" s="11"/>
      <c r="BJ136" s="11"/>
      <c r="BK136" s="11"/>
      <c r="BL136" s="11"/>
      <c r="BM136" s="11"/>
      <c r="BN136" s="11"/>
      <c r="BO136" s="11"/>
      <c r="BP136" s="11"/>
      <c r="BQ136" s="11"/>
      <c r="BR136" s="11"/>
    </row>
    <row r="137" spans="2:70" x14ac:dyDescent="0.2">
      <c r="B137" s="11"/>
      <c r="C137" s="11"/>
      <c r="D137" s="11"/>
      <c r="E137" s="11"/>
      <c r="F137" s="11"/>
      <c r="G137" s="11"/>
      <c r="H137" s="11"/>
      <c r="I137" s="11"/>
      <c r="J137" s="11"/>
      <c r="K137" s="11"/>
      <c r="L137" s="11"/>
      <c r="M137" s="11"/>
      <c r="N137" s="11"/>
      <c r="O137" s="11"/>
      <c r="P137" s="11"/>
      <c r="Q137" s="11"/>
      <c r="R137" s="11"/>
      <c r="S137" s="11"/>
      <c r="T137" s="11"/>
      <c r="U137" s="11"/>
      <c r="V137" s="11"/>
      <c r="W137" s="11"/>
      <c r="X137" s="11"/>
      <c r="Y137" s="11"/>
      <c r="Z137" s="11"/>
      <c r="AA137" s="11"/>
      <c r="AB137" s="11"/>
      <c r="AC137" s="11"/>
      <c r="AD137" s="11"/>
      <c r="AE137" s="11"/>
      <c r="AF137" s="11"/>
      <c r="AG137" s="11"/>
      <c r="AH137" s="11"/>
      <c r="AI137" s="11"/>
      <c r="AJ137" s="11"/>
      <c r="AK137" s="11"/>
      <c r="AL137" s="11"/>
      <c r="AM137" s="11"/>
      <c r="AN137" s="11"/>
      <c r="AO137" s="11"/>
      <c r="AP137" s="11"/>
      <c r="AQ137" s="11"/>
      <c r="AR137" s="11"/>
      <c r="AS137" s="11"/>
      <c r="AT137" s="11"/>
      <c r="AU137" s="11"/>
      <c r="AV137" s="11"/>
      <c r="AW137" s="11"/>
      <c r="AX137" s="11"/>
      <c r="AY137" s="11"/>
      <c r="AZ137" s="11"/>
      <c r="BA137" s="11"/>
      <c r="BB137" s="11"/>
      <c r="BC137" s="11"/>
      <c r="BD137" s="11"/>
      <c r="BE137" s="11"/>
      <c r="BF137" s="11"/>
      <c r="BG137" s="11"/>
      <c r="BH137" s="11"/>
      <c r="BI137" s="11"/>
      <c r="BJ137" s="11"/>
      <c r="BK137" s="11"/>
      <c r="BL137" s="11"/>
      <c r="BM137" s="11"/>
      <c r="BN137" s="11"/>
      <c r="BO137" s="11"/>
      <c r="BP137" s="11"/>
      <c r="BQ137" s="11"/>
      <c r="BR137" s="11"/>
    </row>
    <row r="138" spans="2:70" x14ac:dyDescent="0.2">
      <c r="B138" s="11"/>
      <c r="C138" s="11"/>
      <c r="D138" s="11"/>
      <c r="E138" s="11"/>
      <c r="F138" s="11"/>
      <c r="G138" s="11"/>
      <c r="H138" s="11"/>
      <c r="I138" s="11"/>
      <c r="J138" s="11"/>
      <c r="K138" s="11"/>
      <c r="L138" s="11"/>
      <c r="M138" s="11"/>
      <c r="N138" s="11"/>
      <c r="O138" s="11"/>
      <c r="P138" s="11"/>
      <c r="Q138" s="11"/>
      <c r="R138" s="11"/>
      <c r="S138" s="11"/>
      <c r="T138" s="11"/>
      <c r="U138" s="11"/>
      <c r="V138" s="11"/>
      <c r="W138" s="11"/>
      <c r="X138" s="11"/>
      <c r="Y138" s="11"/>
      <c r="Z138" s="11"/>
      <c r="AA138" s="11"/>
      <c r="AB138" s="11"/>
      <c r="AC138" s="11"/>
      <c r="AD138" s="11"/>
      <c r="AE138" s="11"/>
      <c r="AF138" s="11"/>
      <c r="AG138" s="11"/>
      <c r="AH138" s="11"/>
      <c r="AI138" s="11"/>
      <c r="AJ138" s="11"/>
      <c r="AK138" s="11"/>
      <c r="AL138" s="11"/>
      <c r="AM138" s="11"/>
      <c r="AN138" s="11"/>
      <c r="AO138" s="11"/>
      <c r="AP138" s="11"/>
      <c r="AQ138" s="11"/>
      <c r="AR138" s="11"/>
      <c r="AS138" s="11"/>
      <c r="AT138" s="11"/>
      <c r="AU138" s="11"/>
      <c r="AV138" s="11"/>
      <c r="AW138" s="11"/>
      <c r="AX138" s="11"/>
      <c r="AY138" s="11"/>
      <c r="AZ138" s="11"/>
      <c r="BA138" s="11"/>
      <c r="BB138" s="11"/>
      <c r="BC138" s="11"/>
      <c r="BD138" s="11"/>
      <c r="BE138" s="11"/>
      <c r="BF138" s="11"/>
      <c r="BG138" s="11"/>
      <c r="BH138" s="11"/>
      <c r="BI138" s="11"/>
      <c r="BJ138" s="11"/>
      <c r="BK138" s="11"/>
      <c r="BL138" s="11"/>
      <c r="BM138" s="11"/>
      <c r="BN138" s="11"/>
      <c r="BO138" s="11"/>
      <c r="BP138" s="11"/>
      <c r="BQ138" s="11"/>
      <c r="BR138" s="11"/>
    </row>
    <row r="139" spans="2:70" x14ac:dyDescent="0.2">
      <c r="B139" s="11"/>
      <c r="C139" s="11"/>
      <c r="D139" s="11"/>
      <c r="E139" s="11"/>
      <c r="F139" s="11"/>
      <c r="G139" s="11"/>
      <c r="H139" s="11"/>
      <c r="I139" s="11"/>
      <c r="J139" s="11"/>
      <c r="K139" s="11"/>
      <c r="L139" s="11"/>
      <c r="M139" s="11"/>
      <c r="N139" s="11"/>
      <c r="O139" s="11"/>
      <c r="P139" s="11"/>
      <c r="Q139" s="11"/>
      <c r="R139" s="11"/>
      <c r="S139" s="11"/>
      <c r="T139" s="11"/>
      <c r="U139" s="11"/>
      <c r="V139" s="11"/>
      <c r="W139" s="11"/>
      <c r="X139" s="11"/>
      <c r="Y139" s="11"/>
      <c r="Z139" s="11"/>
      <c r="AA139" s="11"/>
      <c r="AB139" s="11"/>
      <c r="AC139" s="11"/>
      <c r="AD139" s="11"/>
      <c r="AE139" s="11"/>
      <c r="AF139" s="11"/>
      <c r="AG139" s="11"/>
      <c r="AH139" s="11"/>
      <c r="AI139" s="11"/>
      <c r="AJ139" s="11"/>
      <c r="AK139" s="11"/>
      <c r="AL139" s="11"/>
      <c r="AM139" s="11"/>
      <c r="AN139" s="11"/>
      <c r="AO139" s="11"/>
      <c r="AP139" s="11"/>
      <c r="AQ139" s="11"/>
      <c r="AR139" s="11"/>
      <c r="AS139" s="11"/>
      <c r="AT139" s="11"/>
      <c r="AU139" s="11"/>
      <c r="AV139" s="11"/>
      <c r="AW139" s="11"/>
      <c r="AX139" s="11"/>
      <c r="AY139" s="11"/>
      <c r="AZ139" s="11"/>
      <c r="BA139" s="11"/>
      <c r="BB139" s="11"/>
      <c r="BC139" s="11"/>
      <c r="BD139" s="11"/>
      <c r="BE139" s="11"/>
      <c r="BF139" s="11"/>
      <c r="BG139" s="11"/>
      <c r="BH139" s="11"/>
      <c r="BI139" s="11"/>
      <c r="BJ139" s="11"/>
      <c r="BK139" s="11"/>
      <c r="BL139" s="11"/>
      <c r="BM139" s="11"/>
      <c r="BN139" s="11"/>
      <c r="BO139" s="11"/>
      <c r="BP139" s="11"/>
      <c r="BQ139" s="11"/>
      <c r="BR139" s="11"/>
    </row>
  </sheetData>
  <dataConsolidate/>
  <mergeCells count="13">
    <mergeCell ref="BL3:BN3"/>
    <mergeCell ref="Y3:AA3"/>
    <mergeCell ref="AB3:AO3"/>
    <mergeCell ref="AQ3:AT3"/>
    <mergeCell ref="AU3:AY3"/>
    <mergeCell ref="AZ3:BA3"/>
    <mergeCell ref="BB3:BC3"/>
    <mergeCell ref="BD3:BK3"/>
    <mergeCell ref="S3:W3"/>
    <mergeCell ref="A3:D3"/>
    <mergeCell ref="E3:I3"/>
    <mergeCell ref="K3:L3"/>
    <mergeCell ref="N3:R3"/>
  </mergeCells>
  <dataValidations count="1">
    <dataValidation allowBlank="1" showInputMessage="1" sqref="AE1:AE4 AE154:AE1048576" xr:uid="{00000000-0002-0000-0000-000000000000}"/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3" r:id="rId3" name="Button 19">
              <controlPr defaultSize="0" autoFill="0" autoPict="0" macro="[0]!Sheet1.expand_columns_and_copy_data_to_clipboard">
                <anchor moveWithCells="1" sizeWithCells="1">
                  <from>
                    <xdr:col>0</xdr:col>
                    <xdr:colOff>228600</xdr:colOff>
                    <xdr:row>0</xdr:row>
                    <xdr:rowOff>76200</xdr:rowOff>
                  </from>
                  <to>
                    <xdr:col>4</xdr:col>
                    <xdr:colOff>482600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4" name="Button 20">
              <controlPr defaultSize="0" autoFill="0" autoPict="0" macro="[0]!Sheet1.shrink_columns">
                <anchor moveWithCells="1" sizeWithCells="1">
                  <from>
                    <xdr:col>5</xdr:col>
                    <xdr:colOff>38100</xdr:colOff>
                    <xdr:row>0</xdr:row>
                    <xdr:rowOff>76200</xdr:rowOff>
                  </from>
                  <to>
                    <xdr:col>6</xdr:col>
                    <xdr:colOff>444500</xdr:colOff>
                    <xdr:row>2</xdr:row>
                    <xdr:rowOff>25400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1">
        <x14:dataValidation type="list" showInputMessage="1" showErrorMessage="1" xr:uid="{00000000-0002-0000-0000-000001000000}">
          <x14:formula1>
            <xm:f>Validations!$B$3:$B$103</xm:f>
          </x14:formula1>
          <xm:sqref>D5</xm:sqref>
        </x14:dataValidation>
        <x14:dataValidation type="list" allowBlank="1" showInputMessage="1" showErrorMessage="1" xr:uid="{00000000-0002-0000-0000-000002000000}">
          <x14:formula1>
            <xm:f>Validations!$C$3:$C$5</xm:f>
          </x14:formula1>
          <xm:sqref>F5</xm:sqref>
        </x14:dataValidation>
        <x14:dataValidation type="list" showInputMessage="1" showErrorMessage="1" xr:uid="{00000000-0002-0000-0000-000003000000}">
          <x14:formula1>
            <xm:f>Validations!$D$3:$D$11</xm:f>
          </x14:formula1>
          <xm:sqref>G5</xm:sqref>
        </x14:dataValidation>
        <x14:dataValidation type="list" allowBlank="1" showInputMessage="1" showErrorMessage="1" xr:uid="{00000000-0002-0000-0000-000004000000}">
          <x14:formula1>
            <xm:f>Validations!$F$3:$F$22</xm:f>
          </x14:formula1>
          <xm:sqref>I5</xm:sqref>
        </x14:dataValidation>
        <x14:dataValidation type="list" allowBlank="1" showInputMessage="1" showErrorMessage="1" xr:uid="{00000000-0002-0000-0000-000005000000}">
          <x14:formula1>
            <xm:f>Validations!$G$3:$G$4</xm:f>
          </x14:formula1>
          <xm:sqref>J5</xm:sqref>
        </x14:dataValidation>
        <x14:dataValidation type="list" allowBlank="1" showInputMessage="1" showErrorMessage="1" xr:uid="{00000000-0002-0000-0000-000006000000}">
          <x14:formula1>
            <xm:f>Validations!$H$3:$H$11</xm:f>
          </x14:formula1>
          <xm:sqref>K5</xm:sqref>
        </x14:dataValidation>
        <x14:dataValidation type="list" allowBlank="1" showInputMessage="1" showErrorMessage="1" xr:uid="{00000000-0002-0000-0000-000007000000}">
          <x14:formula1>
            <xm:f>Validations!$I$3:$I$11</xm:f>
          </x14:formula1>
          <xm:sqref>O5</xm:sqref>
        </x14:dataValidation>
        <x14:dataValidation type="list" allowBlank="1" showInputMessage="1" showErrorMessage="1" xr:uid="{00000000-0002-0000-0000-000008000000}">
          <x14:formula1>
            <xm:f>Validations!$J$3:$J$10</xm:f>
          </x14:formula1>
          <xm:sqref>Q5</xm:sqref>
        </x14:dataValidation>
        <x14:dataValidation type="list" allowBlank="1" showInputMessage="1" showErrorMessage="1" xr:uid="{00000000-0002-0000-0000-000009000000}">
          <x14:formula1>
            <xm:f>Validations!$K$3:$K$5</xm:f>
          </x14:formula1>
          <xm:sqref>R5</xm:sqref>
        </x14:dataValidation>
        <x14:dataValidation type="list" allowBlank="1" showInputMessage="1" showErrorMessage="1" xr:uid="{00000000-0002-0000-0000-00000A000000}">
          <x14:formula1>
            <xm:f>Validations!$M$3:$M$4</xm:f>
          </x14:formula1>
          <xm:sqref>X5</xm:sqref>
        </x14:dataValidation>
        <x14:dataValidation type="list" allowBlank="1" showInputMessage="1" showErrorMessage="1" xr:uid="{00000000-0002-0000-0000-00000B000000}">
          <x14:formula1>
            <xm:f>Validations!$N$3:$N$6</xm:f>
          </x14:formula1>
          <xm:sqref>Y5</xm:sqref>
        </x14:dataValidation>
        <x14:dataValidation type="list" allowBlank="1" showInputMessage="1" showErrorMessage="1" xr:uid="{00000000-0002-0000-0000-00000C000000}">
          <x14:formula1>
            <xm:f>Validations!$O$3:$O$5</xm:f>
          </x14:formula1>
          <xm:sqref>AB5</xm:sqref>
        </x14:dataValidation>
        <x14:dataValidation type="list" allowBlank="1" showInputMessage="1" showErrorMessage="1" xr:uid="{00000000-0002-0000-0000-00000D000000}">
          <x14:formula1>
            <xm:f>Validations!$P$3:$P$5</xm:f>
          </x14:formula1>
          <xm:sqref>AC5</xm:sqref>
        </x14:dataValidation>
        <x14:dataValidation type="list" allowBlank="1" showInputMessage="1" showErrorMessage="1" xr:uid="{00000000-0002-0000-0000-00000E000000}">
          <x14:formula1>
            <xm:f>Validations!$Q$3:$Q$4</xm:f>
          </x14:formula1>
          <xm:sqref>AE5</xm:sqref>
        </x14:dataValidation>
        <x14:dataValidation type="list" showInputMessage="1" showErrorMessage="1" xr:uid="{00000000-0002-0000-0000-00000F000000}">
          <x14:formula1>
            <xm:f>Validations!$R$3:$R$4</xm:f>
          </x14:formula1>
          <xm:sqref>AJ5:AJ15</xm:sqref>
        </x14:dataValidation>
        <x14:dataValidation type="list" allowBlank="1" showInputMessage="1" showErrorMessage="1" xr:uid="{00000000-0002-0000-0000-000010000000}">
          <x14:formula1>
            <xm:f>Validations!$L$3:$L$5</xm:f>
          </x14:formula1>
          <xm:sqref>W5</xm:sqref>
        </x14:dataValidation>
        <x14:dataValidation type="list" allowBlank="1" showInputMessage="1" showErrorMessage="1" xr:uid="{00000000-0002-0000-0000-000011000000}">
          <x14:formula1>
            <xm:f>Validations!$L$5:$L$7</xm:f>
          </x14:formula1>
          <xm:sqref>AT5</xm:sqref>
        </x14:dataValidation>
        <x14:dataValidation type="list" allowBlank="1" showInputMessage="1" showErrorMessage="1" xr:uid="{00000000-0002-0000-0000-000012000000}">
          <x14:formula1>
            <xm:f>Validations!$T$3:$T$4</xm:f>
          </x14:formula1>
          <xm:sqref>AW5</xm:sqref>
        </x14:dataValidation>
        <x14:dataValidation type="list" allowBlank="1" showInputMessage="1" showErrorMessage="1" xr:uid="{00000000-0002-0000-0000-000013000000}">
          <x14:formula1>
            <xm:f>Validations!$U$3:$U$4</xm:f>
          </x14:formula1>
          <xm:sqref>AY5</xm:sqref>
        </x14:dataValidation>
        <x14:dataValidation type="list" allowBlank="1" showInputMessage="1" showErrorMessage="1" xr:uid="{00000000-0002-0000-0000-000014000000}">
          <x14:formula1>
            <xm:f>Validations!$V$3:$V$5</xm:f>
          </x14:formula1>
          <xm:sqref>BN5</xm:sqref>
        </x14:dataValidation>
        <x14:dataValidation type="list" allowBlank="1" showInputMessage="1" showErrorMessage="1" xr:uid="{00000000-0002-0000-0000-000015000000}">
          <x14:formula1>
            <xm:f>Validations!$E$3:$E$4</xm:f>
          </x14:formula1>
          <xm:sqref>H5</xm:sqref>
        </x14:dataValidation>
        <x14:dataValidation type="list" allowBlank="1" showInputMessage="1" showErrorMessage="1" xr:uid="{00000000-0002-0000-0000-000016000000}">
          <x14:formula1>
            <xm:f>Validations!$K$3:$K$6</xm:f>
          </x14:formula1>
          <xm:sqref>R6:R15</xm:sqref>
        </x14:dataValidation>
        <x14:dataValidation type="list" allowBlank="1" showInputMessage="1" showErrorMessage="1" xr:uid="{00000000-0002-0000-0000-000017000000}">
          <x14:formula1>
            <xm:f>Validations!$G$3:$G$5</xm:f>
          </x14:formula1>
          <xm:sqref>J6:J15</xm:sqref>
        </x14:dataValidation>
        <x14:dataValidation type="list" showInputMessage="1" showErrorMessage="1" xr:uid="{00000000-0002-0000-0000-000018000000}">
          <x14:formula1>
            <xm:f>Validations!$B$3:$B$104</xm:f>
          </x14:formula1>
          <xm:sqref>D6:D15</xm:sqref>
        </x14:dataValidation>
        <x14:dataValidation type="list" allowBlank="1" showInputMessage="1" showErrorMessage="1" xr:uid="{00000000-0002-0000-0000-000019000000}">
          <x14:formula1>
            <xm:f>Validations!$C$3:$C$6</xm:f>
          </x14:formula1>
          <xm:sqref>F6:F15</xm:sqref>
        </x14:dataValidation>
        <x14:dataValidation type="list" showInputMessage="1" showErrorMessage="1" xr:uid="{00000000-0002-0000-0000-00001A000000}">
          <x14:formula1>
            <xm:f>Validations!$D$3:$D$12</xm:f>
          </x14:formula1>
          <xm:sqref>G6:G15</xm:sqref>
        </x14:dataValidation>
        <x14:dataValidation type="list" allowBlank="1" showInputMessage="1" showErrorMessage="1" xr:uid="{00000000-0002-0000-0000-00001B000000}">
          <x14:formula1>
            <xm:f>Validations!$E$3:$E$5</xm:f>
          </x14:formula1>
          <xm:sqref>H6:H15</xm:sqref>
        </x14:dataValidation>
        <x14:dataValidation type="list" allowBlank="1" showInputMessage="1" showErrorMessage="1" xr:uid="{00000000-0002-0000-0000-00001C000000}">
          <x14:formula1>
            <xm:f>Validations!$F$3:$F$23</xm:f>
          </x14:formula1>
          <xm:sqref>I6:I15</xm:sqref>
        </x14:dataValidation>
        <x14:dataValidation type="list" allowBlank="1" showInputMessage="1" showErrorMessage="1" xr:uid="{00000000-0002-0000-0000-00001D000000}">
          <x14:formula1>
            <xm:f>Validations!$H$3:$H$12</xm:f>
          </x14:formula1>
          <xm:sqref>K6:K15</xm:sqref>
        </x14:dataValidation>
        <x14:dataValidation type="list" allowBlank="1" showInputMessage="1" showErrorMessage="1" xr:uid="{00000000-0002-0000-0000-00001E000000}">
          <x14:formula1>
            <xm:f>Validations!$I$3:$I$12</xm:f>
          </x14:formula1>
          <xm:sqref>O6:O15</xm:sqref>
        </x14:dataValidation>
        <x14:dataValidation type="list" allowBlank="1" showInputMessage="1" showErrorMessage="1" xr:uid="{00000000-0002-0000-0000-00001F000000}">
          <x14:formula1>
            <xm:f>Validations!$J$3:$J$11</xm:f>
          </x14:formula1>
          <xm:sqref>Q6:Q15</xm:sqref>
        </x14:dataValidation>
        <x14:dataValidation type="list" allowBlank="1" showInputMessage="1" showErrorMessage="1" xr:uid="{00000000-0002-0000-0000-000020000000}">
          <x14:formula1>
            <xm:f>Validations!$M$3:$M$5</xm:f>
          </x14:formula1>
          <xm:sqref>X6:X15</xm:sqref>
        </x14:dataValidation>
        <x14:dataValidation type="list" allowBlank="1" showInputMessage="1" showErrorMessage="1" xr:uid="{00000000-0002-0000-0000-000021000000}">
          <x14:formula1>
            <xm:f>Validations!$N$3:$N$7</xm:f>
          </x14:formula1>
          <xm:sqref>Y6:Y15</xm:sqref>
        </x14:dataValidation>
        <x14:dataValidation type="list" allowBlank="1" showInputMessage="1" showErrorMessage="1" xr:uid="{00000000-0002-0000-0000-000022000000}">
          <x14:formula1>
            <xm:f>Validations!$O$3:$O$6</xm:f>
          </x14:formula1>
          <xm:sqref>AB6:AB15</xm:sqref>
        </x14:dataValidation>
        <x14:dataValidation type="list" allowBlank="1" showInputMessage="1" showErrorMessage="1" xr:uid="{00000000-0002-0000-0000-000023000000}">
          <x14:formula1>
            <xm:f>Validations!$P$3:$P$6</xm:f>
          </x14:formula1>
          <xm:sqref>AC6:AC15</xm:sqref>
        </x14:dataValidation>
        <x14:dataValidation type="list" allowBlank="1" showInputMessage="1" showErrorMessage="1" xr:uid="{00000000-0002-0000-0000-000024000000}">
          <x14:formula1>
            <xm:f>Validations!$Q$3:$Q$5</xm:f>
          </x14:formula1>
          <xm:sqref>AE6:AE15</xm:sqref>
        </x14:dataValidation>
        <x14:dataValidation type="list" allowBlank="1" showInputMessage="1" showErrorMessage="1" xr:uid="{00000000-0002-0000-0000-000025000000}">
          <x14:formula1>
            <xm:f>Validations!$L$5:$L$8</xm:f>
          </x14:formula1>
          <xm:sqref>AT6:AT15</xm:sqref>
        </x14:dataValidation>
        <x14:dataValidation type="list" allowBlank="1" showInputMessage="1" showErrorMessage="1" xr:uid="{00000000-0002-0000-0000-000026000000}">
          <x14:formula1>
            <xm:f>Validations!$T$3:$T$5</xm:f>
          </x14:formula1>
          <xm:sqref>AW6:AW15</xm:sqref>
        </x14:dataValidation>
        <x14:dataValidation type="list" allowBlank="1" showInputMessage="1" showErrorMessage="1" xr:uid="{00000000-0002-0000-0000-000027000000}">
          <x14:formula1>
            <xm:f>Validations!$U$3:$U$5</xm:f>
          </x14:formula1>
          <xm:sqref>AY6:AY15</xm:sqref>
        </x14:dataValidation>
        <x14:dataValidation type="list" allowBlank="1" showInputMessage="1" showErrorMessage="1" xr:uid="{00000000-0002-0000-0000-000028000000}">
          <x14:formula1>
            <xm:f>Validations!$V$3:$V$6</xm:f>
          </x14:formula1>
          <xm:sqref>BN6:BN15</xm:sqref>
        </x14:dataValidation>
        <x14:dataValidation type="list" allowBlank="1" showInputMessage="1" showErrorMessage="1" xr:uid="{00000000-0002-0000-0000-000029000000}">
          <x14:formula1>
            <xm:f>Validations!$L$3:$L$8</xm:f>
          </x14:formula1>
          <xm:sqref>W6:W15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2:V103"/>
  <sheetViews>
    <sheetView topLeftCell="F1" workbookViewId="0">
      <selection activeCell="L13" sqref="L13"/>
    </sheetView>
  </sheetViews>
  <sheetFormatPr baseColWidth="10" defaultRowHeight="16" x14ac:dyDescent="0.2"/>
  <cols>
    <col min="1" max="1" width="10.83203125" style="1"/>
    <col min="2" max="2" width="17.33203125" style="1" bestFit="1" customWidth="1"/>
    <col min="3" max="3" width="18.6640625" style="1" bestFit="1" customWidth="1"/>
    <col min="4" max="4" width="19.5" style="1" bestFit="1" customWidth="1"/>
    <col min="5" max="5" width="14.83203125" style="1" bestFit="1" customWidth="1"/>
    <col min="6" max="6" width="12.83203125" style="1" bestFit="1" customWidth="1"/>
    <col min="7" max="7" width="10.83203125" style="1"/>
    <col min="8" max="8" width="23.5" style="1" bestFit="1" customWidth="1"/>
    <col min="9" max="10" width="19.33203125" style="1" bestFit="1" customWidth="1"/>
    <col min="11" max="11" width="19.5" style="1" bestFit="1" customWidth="1"/>
    <col min="12" max="12" width="28" style="1" bestFit="1" customWidth="1"/>
    <col min="13" max="13" width="13.83203125" style="1" bestFit="1" customWidth="1"/>
    <col min="14" max="14" width="14.6640625" style="1" bestFit="1" customWidth="1"/>
    <col min="15" max="15" width="19.83203125" style="1" bestFit="1" customWidth="1"/>
    <col min="16" max="16" width="19.5" style="1" bestFit="1" customWidth="1"/>
    <col min="17" max="17" width="19.5" style="1" customWidth="1"/>
    <col min="18" max="18" width="13" style="1" bestFit="1" customWidth="1"/>
    <col min="19" max="19" width="15.6640625" style="1" bestFit="1" customWidth="1"/>
    <col min="20" max="20" width="14" style="1" bestFit="1" customWidth="1"/>
    <col min="21" max="21" width="14.5" style="1" bestFit="1" customWidth="1"/>
    <col min="22" max="16384" width="10.83203125" style="1"/>
  </cols>
  <sheetData>
    <row r="2" spans="1:22" s="3" customFormat="1" x14ac:dyDescent="0.2">
      <c r="A2" s="3" t="s">
        <v>1</v>
      </c>
      <c r="B2" s="3" t="s">
        <v>0</v>
      </c>
      <c r="C2" s="3" t="s">
        <v>3</v>
      </c>
      <c r="D2" s="3" t="s">
        <v>4</v>
      </c>
      <c r="E2" s="3" t="s">
        <v>5</v>
      </c>
      <c r="F2" s="3" t="s">
        <v>6</v>
      </c>
      <c r="G2" s="3" t="s">
        <v>7</v>
      </c>
      <c r="H2" s="3" t="s">
        <v>8</v>
      </c>
      <c r="I2" s="3" t="s">
        <v>12</v>
      </c>
      <c r="J2" s="3" t="s">
        <v>14</v>
      </c>
      <c r="K2" s="3" t="s">
        <v>15</v>
      </c>
      <c r="L2" s="3" t="s">
        <v>20</v>
      </c>
      <c r="M2" s="3" t="s">
        <v>21</v>
      </c>
      <c r="N2" s="3" t="s">
        <v>22</v>
      </c>
      <c r="O2" s="3" t="s">
        <v>25</v>
      </c>
      <c r="P2" s="3" t="s">
        <v>26</v>
      </c>
      <c r="Q2" s="3" t="s">
        <v>218</v>
      </c>
      <c r="R2" s="3" t="s">
        <v>28</v>
      </c>
      <c r="S2" s="3" t="s">
        <v>29</v>
      </c>
      <c r="T2" s="3" t="s">
        <v>38</v>
      </c>
      <c r="U2" s="3" t="s">
        <v>40</v>
      </c>
      <c r="V2" s="3" t="s">
        <v>46</v>
      </c>
    </row>
    <row r="3" spans="1:22" x14ac:dyDescent="0.2">
      <c r="B3" s="1" t="s">
        <v>60</v>
      </c>
      <c r="C3" s="1" t="s">
        <v>161</v>
      </c>
      <c r="D3" s="1" t="s">
        <v>163</v>
      </c>
      <c r="E3" s="1" t="s">
        <v>172</v>
      </c>
      <c r="F3" s="1">
        <v>1</v>
      </c>
      <c r="G3" s="1" t="s">
        <v>174</v>
      </c>
      <c r="H3" s="1" t="s">
        <v>176</v>
      </c>
      <c r="I3" s="1" t="s">
        <v>185</v>
      </c>
      <c r="J3" s="1" t="s">
        <v>186</v>
      </c>
      <c r="K3" s="1" t="s">
        <v>193</v>
      </c>
      <c r="L3" s="1" t="s">
        <v>196</v>
      </c>
      <c r="M3" s="1" t="s">
        <v>199</v>
      </c>
      <c r="N3" s="1" t="s">
        <v>201</v>
      </c>
      <c r="O3" s="1" t="s">
        <v>205</v>
      </c>
      <c r="P3" s="1" t="s">
        <v>208</v>
      </c>
      <c r="Q3" s="1" t="s">
        <v>220</v>
      </c>
      <c r="R3" s="1" t="s">
        <v>213</v>
      </c>
      <c r="S3" s="1" t="s">
        <v>214</v>
      </c>
      <c r="T3" s="1" t="s">
        <v>175</v>
      </c>
      <c r="U3" s="1" t="s">
        <v>175</v>
      </c>
      <c r="V3" s="1" t="s">
        <v>211</v>
      </c>
    </row>
    <row r="4" spans="1:22" x14ac:dyDescent="0.2">
      <c r="B4" s="1" t="s">
        <v>61</v>
      </c>
      <c r="C4" s="1" t="s">
        <v>162</v>
      </c>
      <c r="D4" s="1" t="s">
        <v>164</v>
      </c>
      <c r="E4" s="1" t="s">
        <v>173</v>
      </c>
      <c r="F4" s="1">
        <v>2</v>
      </c>
      <c r="G4" s="1" t="s">
        <v>175</v>
      </c>
      <c r="H4" s="1" t="s">
        <v>182</v>
      </c>
      <c r="I4" s="1" t="s">
        <v>186</v>
      </c>
      <c r="J4" s="1" t="s">
        <v>187</v>
      </c>
      <c r="K4" s="1" t="s">
        <v>194</v>
      </c>
      <c r="L4" s="1" t="s">
        <v>198</v>
      </c>
      <c r="M4" s="1" t="s">
        <v>200</v>
      </c>
      <c r="N4" s="1" t="s">
        <v>202</v>
      </c>
      <c r="O4" s="1" t="s">
        <v>206</v>
      </c>
      <c r="P4" s="1" t="s">
        <v>209</v>
      </c>
      <c r="Q4" s="1" t="s">
        <v>219</v>
      </c>
      <c r="R4" s="1" t="str">
        <f>" "</f>
        <v xml:space="preserve"> </v>
      </c>
      <c r="S4" s="1" t="s">
        <v>215</v>
      </c>
      <c r="T4" s="1" t="s">
        <v>174</v>
      </c>
      <c r="U4" s="1" t="s">
        <v>174</v>
      </c>
      <c r="V4" s="1" t="s">
        <v>212</v>
      </c>
    </row>
    <row r="5" spans="1:22" x14ac:dyDescent="0.2">
      <c r="B5" s="1" t="s">
        <v>62</v>
      </c>
      <c r="C5" s="1" t="s">
        <v>160</v>
      </c>
      <c r="D5" s="1" t="s">
        <v>165</v>
      </c>
      <c r="F5" s="1">
        <v>3</v>
      </c>
      <c r="H5" s="1" t="s">
        <v>177</v>
      </c>
      <c r="I5" s="1" t="s">
        <v>187</v>
      </c>
      <c r="J5" s="1" t="s">
        <v>188</v>
      </c>
      <c r="K5" s="1" t="s">
        <v>195</v>
      </c>
      <c r="L5" s="1" t="s">
        <v>197</v>
      </c>
      <c r="N5" s="1" t="s">
        <v>203</v>
      </c>
      <c r="O5" s="1" t="s">
        <v>207</v>
      </c>
      <c r="P5" s="1" t="s">
        <v>210</v>
      </c>
      <c r="S5" s="1" t="s">
        <v>216</v>
      </c>
      <c r="V5" s="1" t="s">
        <v>221</v>
      </c>
    </row>
    <row r="6" spans="1:22" x14ac:dyDescent="0.2">
      <c r="B6" s="1" t="s">
        <v>63</v>
      </c>
      <c r="D6" s="1" t="s">
        <v>166</v>
      </c>
      <c r="F6" s="1">
        <v>4</v>
      </c>
      <c r="H6" s="1" t="s">
        <v>178</v>
      </c>
      <c r="I6" s="1" t="s">
        <v>188</v>
      </c>
      <c r="J6" s="1" t="s">
        <v>189</v>
      </c>
      <c r="N6" s="1" t="s">
        <v>204</v>
      </c>
      <c r="S6" s="1" t="s">
        <v>217</v>
      </c>
    </row>
    <row r="7" spans="1:22" x14ac:dyDescent="0.2">
      <c r="B7" s="1" t="s">
        <v>64</v>
      </c>
      <c r="D7" s="1" t="s">
        <v>167</v>
      </c>
      <c r="F7" s="1">
        <v>5</v>
      </c>
      <c r="H7" s="1" t="s">
        <v>179</v>
      </c>
      <c r="I7" s="1" t="s">
        <v>189</v>
      </c>
      <c r="J7" s="1" t="s">
        <v>183</v>
      </c>
    </row>
    <row r="8" spans="1:22" x14ac:dyDescent="0.2">
      <c r="B8" s="1" t="s">
        <v>65</v>
      </c>
      <c r="D8" s="1" t="s">
        <v>168</v>
      </c>
      <c r="F8" s="1">
        <v>6</v>
      </c>
      <c r="H8" s="1" t="s">
        <v>180</v>
      </c>
      <c r="I8" s="1" t="s">
        <v>183</v>
      </c>
      <c r="J8" s="1" t="s">
        <v>190</v>
      </c>
    </row>
    <row r="9" spans="1:22" x14ac:dyDescent="0.2">
      <c r="B9" s="1" t="s">
        <v>66</v>
      </c>
      <c r="D9" s="1" t="s">
        <v>169</v>
      </c>
      <c r="F9" s="1">
        <v>7</v>
      </c>
      <c r="H9" s="1" t="s">
        <v>181</v>
      </c>
      <c r="I9" s="1" t="s">
        <v>190</v>
      </c>
      <c r="J9" s="1" t="s">
        <v>191</v>
      </c>
    </row>
    <row r="10" spans="1:22" x14ac:dyDescent="0.2">
      <c r="B10" s="1" t="s">
        <v>67</v>
      </c>
      <c r="D10" s="1" t="s">
        <v>170</v>
      </c>
      <c r="F10" s="1">
        <v>8</v>
      </c>
      <c r="H10" s="1" t="s">
        <v>183</v>
      </c>
      <c r="I10" s="1" t="s">
        <v>191</v>
      </c>
      <c r="J10" s="1" t="s">
        <v>192</v>
      </c>
    </row>
    <row r="11" spans="1:22" x14ac:dyDescent="0.2">
      <c r="B11" s="1" t="s">
        <v>68</v>
      </c>
      <c r="D11" s="1" t="s">
        <v>171</v>
      </c>
      <c r="F11" s="1">
        <v>9</v>
      </c>
      <c r="H11" s="1" t="s">
        <v>184</v>
      </c>
      <c r="I11" s="1" t="s">
        <v>192</v>
      </c>
    </row>
    <row r="12" spans="1:22" x14ac:dyDescent="0.2">
      <c r="B12" s="1" t="s">
        <v>69</v>
      </c>
      <c r="F12" s="1">
        <v>10</v>
      </c>
    </row>
    <row r="13" spans="1:22" x14ac:dyDescent="0.2">
      <c r="B13" s="1" t="s">
        <v>70</v>
      </c>
      <c r="F13" s="1">
        <v>11</v>
      </c>
    </row>
    <row r="14" spans="1:22" x14ac:dyDescent="0.2">
      <c r="B14" s="1" t="s">
        <v>71</v>
      </c>
      <c r="F14" s="1">
        <v>12</v>
      </c>
    </row>
    <row r="15" spans="1:22" x14ac:dyDescent="0.2">
      <c r="B15" s="1" t="s">
        <v>72</v>
      </c>
      <c r="F15" s="1">
        <v>13</v>
      </c>
    </row>
    <row r="16" spans="1:22" x14ac:dyDescent="0.2">
      <c r="B16" s="1" t="s">
        <v>73</v>
      </c>
      <c r="F16" s="1">
        <v>14</v>
      </c>
    </row>
    <row r="17" spans="2:6" x14ac:dyDescent="0.2">
      <c r="B17" s="1" t="s">
        <v>74</v>
      </c>
      <c r="F17" s="1">
        <v>15</v>
      </c>
    </row>
    <row r="18" spans="2:6" x14ac:dyDescent="0.2">
      <c r="B18" s="1" t="s">
        <v>75</v>
      </c>
      <c r="F18" s="1">
        <v>16</v>
      </c>
    </row>
    <row r="19" spans="2:6" x14ac:dyDescent="0.2">
      <c r="B19" s="1" t="s">
        <v>76</v>
      </c>
      <c r="F19" s="1">
        <v>17</v>
      </c>
    </row>
    <row r="20" spans="2:6" x14ac:dyDescent="0.2">
      <c r="B20" s="1" t="s">
        <v>77</v>
      </c>
      <c r="F20" s="1">
        <v>18</v>
      </c>
    </row>
    <row r="21" spans="2:6" x14ac:dyDescent="0.2">
      <c r="B21" s="1" t="s">
        <v>78</v>
      </c>
      <c r="F21" s="1">
        <v>19</v>
      </c>
    </row>
    <row r="22" spans="2:6" x14ac:dyDescent="0.2">
      <c r="B22" s="1" t="s">
        <v>79</v>
      </c>
      <c r="F22" s="1">
        <v>20</v>
      </c>
    </row>
    <row r="23" spans="2:6" x14ac:dyDescent="0.2">
      <c r="B23" s="1" t="s">
        <v>80</v>
      </c>
    </row>
    <row r="24" spans="2:6" x14ac:dyDescent="0.2">
      <c r="B24" s="1" t="s">
        <v>81</v>
      </c>
    </row>
    <row r="25" spans="2:6" x14ac:dyDescent="0.2">
      <c r="B25" s="1" t="s">
        <v>82</v>
      </c>
    </row>
    <row r="26" spans="2:6" x14ac:dyDescent="0.2">
      <c r="B26" s="1" t="s">
        <v>83</v>
      </c>
    </row>
    <row r="27" spans="2:6" x14ac:dyDescent="0.2">
      <c r="B27" s="1" t="s">
        <v>84</v>
      </c>
    </row>
    <row r="28" spans="2:6" x14ac:dyDescent="0.2">
      <c r="B28" s="1" t="s">
        <v>85</v>
      </c>
    </row>
    <row r="29" spans="2:6" x14ac:dyDescent="0.2">
      <c r="B29" s="1" t="s">
        <v>86</v>
      </c>
    </row>
    <row r="30" spans="2:6" x14ac:dyDescent="0.2">
      <c r="B30" s="1" t="s">
        <v>87</v>
      </c>
    </row>
    <row r="31" spans="2:6" x14ac:dyDescent="0.2">
      <c r="B31" s="1" t="s">
        <v>88</v>
      </c>
    </row>
    <row r="32" spans="2:6" x14ac:dyDescent="0.2">
      <c r="B32" s="1" t="s">
        <v>89</v>
      </c>
    </row>
    <row r="33" spans="2:2" x14ac:dyDescent="0.2">
      <c r="B33" s="1" t="s">
        <v>90</v>
      </c>
    </row>
    <row r="34" spans="2:2" x14ac:dyDescent="0.2">
      <c r="B34" s="1" t="s">
        <v>91</v>
      </c>
    </row>
    <row r="35" spans="2:2" x14ac:dyDescent="0.2">
      <c r="B35" s="1" t="s">
        <v>92</v>
      </c>
    </row>
    <row r="36" spans="2:2" x14ac:dyDescent="0.2">
      <c r="B36" s="1" t="s">
        <v>93</v>
      </c>
    </row>
    <row r="37" spans="2:2" x14ac:dyDescent="0.2">
      <c r="B37" s="1" t="s">
        <v>94</v>
      </c>
    </row>
    <row r="38" spans="2:2" x14ac:dyDescent="0.2">
      <c r="B38" s="1" t="s">
        <v>95</v>
      </c>
    </row>
    <row r="39" spans="2:2" x14ac:dyDescent="0.2">
      <c r="B39" s="1" t="s">
        <v>96</v>
      </c>
    </row>
    <row r="40" spans="2:2" x14ac:dyDescent="0.2">
      <c r="B40" s="1" t="s">
        <v>97</v>
      </c>
    </row>
    <row r="41" spans="2:2" x14ac:dyDescent="0.2">
      <c r="B41" s="1" t="s">
        <v>98</v>
      </c>
    </row>
    <row r="42" spans="2:2" x14ac:dyDescent="0.2">
      <c r="B42" s="1" t="s">
        <v>99</v>
      </c>
    </row>
    <row r="43" spans="2:2" x14ac:dyDescent="0.2">
      <c r="B43" s="1" t="s">
        <v>100</v>
      </c>
    </row>
    <row r="44" spans="2:2" x14ac:dyDescent="0.2">
      <c r="B44" s="1" t="s">
        <v>101</v>
      </c>
    </row>
    <row r="45" spans="2:2" x14ac:dyDescent="0.2">
      <c r="B45" s="1" t="s">
        <v>102</v>
      </c>
    </row>
    <row r="46" spans="2:2" x14ac:dyDescent="0.2">
      <c r="B46" s="1" t="s">
        <v>103</v>
      </c>
    </row>
    <row r="47" spans="2:2" x14ac:dyDescent="0.2">
      <c r="B47" s="1" t="s">
        <v>104</v>
      </c>
    </row>
    <row r="48" spans="2:2" x14ac:dyDescent="0.2">
      <c r="B48" s="1" t="s">
        <v>105</v>
      </c>
    </row>
    <row r="49" spans="2:2" x14ac:dyDescent="0.2">
      <c r="B49" s="1" t="s">
        <v>106</v>
      </c>
    </row>
    <row r="50" spans="2:2" x14ac:dyDescent="0.2">
      <c r="B50" s="1" t="s">
        <v>107</v>
      </c>
    </row>
    <row r="51" spans="2:2" x14ac:dyDescent="0.2">
      <c r="B51" s="1" t="s">
        <v>108</v>
      </c>
    </row>
    <row r="52" spans="2:2" x14ac:dyDescent="0.2">
      <c r="B52" s="1" t="s">
        <v>109</v>
      </c>
    </row>
    <row r="53" spans="2:2" x14ac:dyDescent="0.2">
      <c r="B53" s="1" t="s">
        <v>110</v>
      </c>
    </row>
    <row r="54" spans="2:2" x14ac:dyDescent="0.2">
      <c r="B54" s="1" t="s">
        <v>111</v>
      </c>
    </row>
    <row r="55" spans="2:2" x14ac:dyDescent="0.2">
      <c r="B55" s="1" t="s">
        <v>112</v>
      </c>
    </row>
    <row r="56" spans="2:2" x14ac:dyDescent="0.2">
      <c r="B56" s="1" t="s">
        <v>113</v>
      </c>
    </row>
    <row r="57" spans="2:2" x14ac:dyDescent="0.2">
      <c r="B57" s="1" t="s">
        <v>114</v>
      </c>
    </row>
    <row r="58" spans="2:2" x14ac:dyDescent="0.2">
      <c r="B58" s="1" t="s">
        <v>115</v>
      </c>
    </row>
    <row r="59" spans="2:2" x14ac:dyDescent="0.2">
      <c r="B59" s="1" t="s">
        <v>116</v>
      </c>
    </row>
    <row r="60" spans="2:2" x14ac:dyDescent="0.2">
      <c r="B60" s="1" t="s">
        <v>117</v>
      </c>
    </row>
    <row r="61" spans="2:2" x14ac:dyDescent="0.2">
      <c r="B61" s="1" t="s">
        <v>118</v>
      </c>
    </row>
    <row r="62" spans="2:2" x14ac:dyDescent="0.2">
      <c r="B62" s="1" t="s">
        <v>119</v>
      </c>
    </row>
    <row r="63" spans="2:2" x14ac:dyDescent="0.2">
      <c r="B63" s="1" t="s">
        <v>120</v>
      </c>
    </row>
    <row r="64" spans="2:2" x14ac:dyDescent="0.2">
      <c r="B64" s="1" t="s">
        <v>121</v>
      </c>
    </row>
    <row r="65" spans="2:2" x14ac:dyDescent="0.2">
      <c r="B65" s="1" t="s">
        <v>122</v>
      </c>
    </row>
    <row r="66" spans="2:2" x14ac:dyDescent="0.2">
      <c r="B66" s="1" t="s">
        <v>123</v>
      </c>
    </row>
    <row r="67" spans="2:2" x14ac:dyDescent="0.2">
      <c r="B67" s="1" t="s">
        <v>124</v>
      </c>
    </row>
    <row r="68" spans="2:2" x14ac:dyDescent="0.2">
      <c r="B68" s="1" t="s">
        <v>125</v>
      </c>
    </row>
    <row r="69" spans="2:2" x14ac:dyDescent="0.2">
      <c r="B69" s="1" t="s">
        <v>126</v>
      </c>
    </row>
    <row r="70" spans="2:2" x14ac:dyDescent="0.2">
      <c r="B70" s="1" t="s">
        <v>127</v>
      </c>
    </row>
    <row r="71" spans="2:2" x14ac:dyDescent="0.2">
      <c r="B71" s="1" t="s">
        <v>128</v>
      </c>
    </row>
    <row r="72" spans="2:2" x14ac:dyDescent="0.2">
      <c r="B72" s="1" t="s">
        <v>129</v>
      </c>
    </row>
    <row r="73" spans="2:2" x14ac:dyDescent="0.2">
      <c r="B73" s="1" t="s">
        <v>130</v>
      </c>
    </row>
    <row r="74" spans="2:2" x14ac:dyDescent="0.2">
      <c r="B74" s="1" t="s">
        <v>131</v>
      </c>
    </row>
    <row r="75" spans="2:2" x14ac:dyDescent="0.2">
      <c r="B75" s="1" t="s">
        <v>132</v>
      </c>
    </row>
    <row r="76" spans="2:2" x14ac:dyDescent="0.2">
      <c r="B76" s="1" t="s">
        <v>133</v>
      </c>
    </row>
    <row r="77" spans="2:2" x14ac:dyDescent="0.2">
      <c r="B77" s="1" t="s">
        <v>134</v>
      </c>
    </row>
    <row r="78" spans="2:2" x14ac:dyDescent="0.2">
      <c r="B78" s="1" t="s">
        <v>135</v>
      </c>
    </row>
    <row r="79" spans="2:2" x14ac:dyDescent="0.2">
      <c r="B79" s="1" t="s">
        <v>136</v>
      </c>
    </row>
    <row r="80" spans="2:2" x14ac:dyDescent="0.2">
      <c r="B80" s="1" t="s">
        <v>137</v>
      </c>
    </row>
    <row r="81" spans="2:2" x14ac:dyDescent="0.2">
      <c r="B81" s="1" t="s">
        <v>138</v>
      </c>
    </row>
    <row r="82" spans="2:2" x14ac:dyDescent="0.2">
      <c r="B82" s="1" t="s">
        <v>139</v>
      </c>
    </row>
    <row r="83" spans="2:2" x14ac:dyDescent="0.2">
      <c r="B83" s="1" t="s">
        <v>140</v>
      </c>
    </row>
    <row r="84" spans="2:2" x14ac:dyDescent="0.2">
      <c r="B84" s="1" t="s">
        <v>141</v>
      </c>
    </row>
    <row r="85" spans="2:2" x14ac:dyDescent="0.2">
      <c r="B85" s="1" t="s">
        <v>142</v>
      </c>
    </row>
    <row r="86" spans="2:2" x14ac:dyDescent="0.2">
      <c r="B86" s="1" t="s">
        <v>143</v>
      </c>
    </row>
    <row r="87" spans="2:2" x14ac:dyDescent="0.2">
      <c r="B87" s="1" t="s">
        <v>144</v>
      </c>
    </row>
    <row r="88" spans="2:2" x14ac:dyDescent="0.2">
      <c r="B88" s="1" t="s">
        <v>145</v>
      </c>
    </row>
    <row r="89" spans="2:2" x14ac:dyDescent="0.2">
      <c r="B89" s="1" t="s">
        <v>146</v>
      </c>
    </row>
    <row r="90" spans="2:2" x14ac:dyDescent="0.2">
      <c r="B90" s="1" t="s">
        <v>147</v>
      </c>
    </row>
    <row r="91" spans="2:2" x14ac:dyDescent="0.2">
      <c r="B91" s="1" t="s">
        <v>148</v>
      </c>
    </row>
    <row r="92" spans="2:2" x14ac:dyDescent="0.2">
      <c r="B92" s="1" t="s">
        <v>149</v>
      </c>
    </row>
    <row r="93" spans="2:2" x14ac:dyDescent="0.2">
      <c r="B93" s="1" t="s">
        <v>150</v>
      </c>
    </row>
    <row r="94" spans="2:2" x14ac:dyDescent="0.2">
      <c r="B94" s="1" t="s">
        <v>151</v>
      </c>
    </row>
    <row r="95" spans="2:2" x14ac:dyDescent="0.2">
      <c r="B95" s="1" t="s">
        <v>152</v>
      </c>
    </row>
    <row r="96" spans="2:2" x14ac:dyDescent="0.2">
      <c r="B96" s="1" t="s">
        <v>153</v>
      </c>
    </row>
    <row r="97" spans="2:2" x14ac:dyDescent="0.2">
      <c r="B97" s="1" t="s">
        <v>154</v>
      </c>
    </row>
    <row r="98" spans="2:2" x14ac:dyDescent="0.2">
      <c r="B98" s="1" t="s">
        <v>155</v>
      </c>
    </row>
    <row r="99" spans="2:2" x14ac:dyDescent="0.2">
      <c r="B99" s="1" t="s">
        <v>156</v>
      </c>
    </row>
    <row r="100" spans="2:2" x14ac:dyDescent="0.2">
      <c r="B100" s="1" t="s">
        <v>157</v>
      </c>
    </row>
    <row r="101" spans="2:2" x14ac:dyDescent="0.2">
      <c r="B101" s="1" t="s">
        <v>158</v>
      </c>
    </row>
    <row r="102" spans="2:2" x14ac:dyDescent="0.2">
      <c r="B102" s="1" t="s">
        <v>159</v>
      </c>
    </row>
    <row r="103" spans="2:2" x14ac:dyDescent="0.2">
      <c r="B103" s="1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Main Database</vt:lpstr>
      <vt:lpstr>Validations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Lim, Jamie/Sloan Kettering Institute</dc:creator>
  <cp:lastModifiedBy>Pasha, Arfath/Epidemiology-Biostatistics</cp:lastModifiedBy>
  <dcterms:created xsi:type="dcterms:W3CDTF">2019-09-12T16:06:04Z</dcterms:created>
  <dcterms:modified xsi:type="dcterms:W3CDTF">2019-10-25T22:10:50Z</dcterms:modified>
</cp:coreProperties>
</file>