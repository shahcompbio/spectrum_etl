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9D8C16A-C800-084C-BEA3-254FE58806FD}" xr6:coauthVersionLast="45" xr6:coauthVersionMax="45" xr10:uidLastSave="{00000000-0000-0000-0000-000000000000}"/>
  <bookViews>
    <workbookView xWindow="30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E92" i="3" l="1"/>
  <c r="AF92" i="3"/>
  <c r="AI92" i="3" s="1"/>
  <c r="W92" i="3"/>
  <c r="P92" i="3"/>
  <c r="M92" i="3"/>
  <c r="J92" i="3"/>
  <c r="F92" i="3"/>
  <c r="A92" i="3"/>
  <c r="BE91" i="3"/>
  <c r="AF91" i="3"/>
  <c r="AI91" i="3" s="1"/>
  <c r="W91" i="3"/>
  <c r="P91" i="3"/>
  <c r="M91" i="3"/>
  <c r="J91" i="3"/>
  <c r="F91" i="3"/>
  <c r="A91" i="3"/>
  <c r="BE90" i="3"/>
  <c r="AF90" i="3"/>
  <c r="AI90" i="3" s="1"/>
  <c r="W90" i="3"/>
  <c r="P90" i="3"/>
  <c r="M90" i="3"/>
  <c r="J90" i="3"/>
  <c r="F90" i="3"/>
  <c r="A90" i="3"/>
  <c r="BE89" i="3"/>
  <c r="AF89" i="3"/>
  <c r="AI89" i="3" s="1"/>
  <c r="W89" i="3"/>
  <c r="P89" i="3"/>
  <c r="M89" i="3"/>
  <c r="J89" i="3"/>
  <c r="F89" i="3"/>
  <c r="A89" i="3"/>
  <c r="BE88" i="3"/>
  <c r="AF88" i="3"/>
  <c r="AI88" i="3" s="1"/>
  <c r="W88" i="3"/>
  <c r="P88" i="3"/>
  <c r="M88" i="3"/>
  <c r="J88" i="3"/>
  <c r="F88" i="3"/>
  <c r="A88" i="3"/>
  <c r="BE87" i="3"/>
  <c r="AF87" i="3"/>
  <c r="AI87" i="3" s="1"/>
  <c r="W87" i="3"/>
  <c r="P87" i="3"/>
  <c r="M87" i="3"/>
  <c r="J87" i="3"/>
  <c r="F87" i="3"/>
  <c r="A87" i="3"/>
  <c r="BE86" i="3"/>
  <c r="AF86" i="3"/>
  <c r="AI86" i="3" s="1"/>
  <c r="W86" i="3"/>
  <c r="P86" i="3"/>
  <c r="M86" i="3"/>
  <c r="J86" i="3"/>
  <c r="F86" i="3"/>
  <c r="A86" i="3"/>
  <c r="BE85" i="3"/>
  <c r="AF85" i="3"/>
  <c r="AI85" i="3" s="1"/>
  <c r="W85" i="3"/>
  <c r="P85" i="3"/>
  <c r="M85" i="3"/>
  <c r="J85" i="3"/>
  <c r="F85" i="3"/>
  <c r="A85" i="3"/>
  <c r="BE84" i="3"/>
  <c r="AF84" i="3"/>
  <c r="AI84" i="3" s="1"/>
  <c r="W84" i="3"/>
  <c r="P84" i="3"/>
  <c r="M84" i="3"/>
  <c r="J84" i="3"/>
  <c r="F84" i="3"/>
  <c r="A84" i="3"/>
  <c r="BE83" i="3"/>
  <c r="AF83" i="3"/>
  <c r="AI83" i="3" s="1"/>
  <c r="W83" i="3"/>
  <c r="P83" i="3"/>
  <c r="M83" i="3"/>
  <c r="J83" i="3"/>
  <c r="F83" i="3"/>
  <c r="A83" i="3"/>
  <c r="BE82" i="3"/>
  <c r="AF82" i="3"/>
  <c r="AI82" i="3" s="1"/>
  <c r="W82" i="3"/>
  <c r="P82" i="3"/>
  <c r="M82" i="3"/>
  <c r="J82" i="3"/>
  <c r="F82" i="3"/>
  <c r="A82" i="3"/>
  <c r="BE81" i="3"/>
  <c r="AF81" i="3"/>
  <c r="AI81" i="3" s="1"/>
  <c r="W81" i="3"/>
  <c r="P81" i="3"/>
  <c r="M81" i="3"/>
  <c r="J81" i="3"/>
  <c r="F81" i="3"/>
  <c r="A81" i="3"/>
  <c r="BE80" i="3"/>
  <c r="AF80" i="3"/>
  <c r="AI80" i="3" s="1"/>
  <c r="W80" i="3"/>
  <c r="P80" i="3"/>
  <c r="M80" i="3"/>
  <c r="J80" i="3"/>
  <c r="F80" i="3"/>
  <c r="A80" i="3"/>
  <c r="BE79" i="3"/>
  <c r="AF79" i="3"/>
  <c r="AI79" i="3" s="1"/>
  <c r="W79" i="3"/>
  <c r="P79" i="3"/>
  <c r="M79" i="3"/>
  <c r="J79" i="3"/>
  <c r="F79" i="3"/>
  <c r="A79" i="3"/>
  <c r="BE78" i="3"/>
  <c r="AF78" i="3"/>
  <c r="AI78" i="3" s="1"/>
  <c r="W78" i="3"/>
  <c r="P78" i="3"/>
  <c r="M78" i="3"/>
  <c r="J78" i="3"/>
  <c r="F78" i="3"/>
  <c r="A78" i="3"/>
  <c r="BE77" i="3"/>
  <c r="AF77" i="3"/>
  <c r="AI77" i="3" s="1"/>
  <c r="W77" i="3"/>
  <c r="P77" i="3"/>
  <c r="M77" i="3"/>
  <c r="J77" i="3"/>
  <c r="F77" i="3"/>
  <c r="A77" i="3"/>
  <c r="BE76" i="3"/>
  <c r="AF76" i="3"/>
  <c r="AI76" i="3" s="1"/>
  <c r="W76" i="3"/>
  <c r="P76" i="3"/>
  <c r="M76" i="3"/>
  <c r="J76" i="3"/>
  <c r="F76" i="3"/>
  <c r="A76" i="3"/>
  <c r="BE75" i="3"/>
  <c r="AF75" i="3"/>
  <c r="AI75" i="3" s="1"/>
  <c r="W75" i="3"/>
  <c r="P75" i="3"/>
  <c r="M75" i="3"/>
  <c r="J75" i="3"/>
  <c r="F75" i="3"/>
  <c r="A75" i="3"/>
  <c r="BE74" i="3"/>
  <c r="AF74" i="3"/>
  <c r="AI74" i="3" s="1"/>
  <c r="W74" i="3"/>
  <c r="P74" i="3"/>
  <c r="M74" i="3"/>
  <c r="J74" i="3"/>
  <c r="F74" i="3"/>
  <c r="A74" i="3"/>
  <c r="BE73" i="3"/>
  <c r="AF73" i="3"/>
  <c r="AI73" i="3" s="1"/>
  <c r="W73" i="3"/>
  <c r="P73" i="3"/>
  <c r="M73" i="3"/>
  <c r="J73" i="3"/>
  <c r="F73" i="3"/>
  <c r="A73" i="3"/>
  <c r="BE72" i="3"/>
  <c r="AF72" i="3"/>
  <c r="AI72" i="3" s="1"/>
  <c r="W72" i="3"/>
  <c r="P72" i="3"/>
  <c r="M72" i="3"/>
  <c r="J72" i="3"/>
  <c r="F72" i="3"/>
  <c r="A72" i="3"/>
  <c r="BE71" i="3"/>
  <c r="AF71" i="3"/>
  <c r="AI71" i="3" s="1"/>
  <c r="W71" i="3"/>
  <c r="P71" i="3"/>
  <c r="M71" i="3"/>
  <c r="J71" i="3"/>
  <c r="F71" i="3"/>
  <c r="A71" i="3"/>
  <c r="BE70" i="3"/>
  <c r="AF70" i="3"/>
  <c r="AI70" i="3" s="1"/>
  <c r="W70" i="3"/>
  <c r="P70" i="3"/>
  <c r="M70" i="3"/>
  <c r="J70" i="3"/>
  <c r="F70" i="3"/>
  <c r="A70" i="3"/>
  <c r="BE69" i="3"/>
  <c r="AF69" i="3"/>
  <c r="AI69" i="3" s="1"/>
  <c r="W69" i="3"/>
  <c r="P69" i="3"/>
  <c r="M69" i="3"/>
  <c r="J69" i="3"/>
  <c r="F69" i="3"/>
  <c r="A69" i="3"/>
  <c r="BE68" i="3"/>
  <c r="AF68" i="3"/>
  <c r="AI68" i="3" s="1"/>
  <c r="W68" i="3"/>
  <c r="P68" i="3"/>
  <c r="M68" i="3"/>
  <c r="J68" i="3"/>
  <c r="F68" i="3"/>
  <c r="A68" i="3"/>
  <c r="BE67" i="3"/>
  <c r="AF67" i="3"/>
  <c r="AI67" i="3" s="1"/>
  <c r="W67" i="3"/>
  <c r="P67" i="3"/>
  <c r="M67" i="3"/>
  <c r="J67" i="3"/>
  <c r="F67" i="3"/>
  <c r="A67" i="3"/>
  <c r="BE66" i="3"/>
  <c r="AF66" i="3"/>
  <c r="AI66" i="3" s="1"/>
  <c r="W66" i="3"/>
  <c r="P66" i="3"/>
  <c r="M66" i="3"/>
  <c r="J66" i="3"/>
  <c r="F66" i="3"/>
  <c r="A66" i="3"/>
  <c r="BE65" i="3"/>
  <c r="AF65" i="3"/>
  <c r="AI65" i="3" s="1"/>
  <c r="W65" i="3"/>
  <c r="P65" i="3"/>
  <c r="M65" i="3"/>
  <c r="J65" i="3"/>
  <c r="F65" i="3"/>
  <c r="A65" i="3"/>
  <c r="BE64" i="3"/>
  <c r="AF64" i="3"/>
  <c r="AI64" i="3" s="1"/>
  <c r="W64" i="3"/>
  <c r="P64" i="3"/>
  <c r="M64" i="3"/>
  <c r="J64" i="3"/>
  <c r="F64" i="3"/>
  <c r="A64" i="3"/>
  <c r="BE63" i="3"/>
  <c r="AF63" i="3"/>
  <c r="AI63" i="3" s="1"/>
  <c r="W63" i="3"/>
  <c r="P63" i="3"/>
  <c r="M63" i="3"/>
  <c r="J63" i="3"/>
  <c r="F63" i="3"/>
  <c r="A63" i="3"/>
  <c r="BE62" i="3"/>
  <c r="AF62" i="3"/>
  <c r="AI62" i="3" s="1"/>
  <c r="W62" i="3"/>
  <c r="P62" i="3"/>
  <c r="M62" i="3"/>
  <c r="J62" i="3"/>
  <c r="F62" i="3"/>
  <c r="A62" i="3"/>
  <c r="BE61" i="3"/>
  <c r="AF61" i="3"/>
  <c r="AI61" i="3" s="1"/>
  <c r="W61" i="3"/>
  <c r="P61" i="3"/>
  <c r="M61" i="3"/>
  <c r="J61" i="3"/>
  <c r="F61" i="3"/>
  <c r="A61" i="3"/>
  <c r="BE60" i="3"/>
  <c r="AF60" i="3"/>
  <c r="W60" i="3"/>
  <c r="P60" i="3"/>
  <c r="M60" i="3"/>
  <c r="J60" i="3"/>
  <c r="F60" i="3"/>
  <c r="A60" i="3"/>
  <c r="BE59" i="3"/>
  <c r="AF59" i="3"/>
  <c r="AI59" i="3" s="1"/>
  <c r="W59" i="3"/>
  <c r="P59" i="3"/>
  <c r="M59" i="3"/>
  <c r="J59" i="3"/>
  <c r="F59" i="3"/>
  <c r="A59" i="3"/>
  <c r="BE58" i="3"/>
  <c r="AF58" i="3"/>
  <c r="W58" i="3"/>
  <c r="P58" i="3"/>
  <c r="M58" i="3"/>
  <c r="J58" i="3"/>
  <c r="F58" i="3"/>
  <c r="A58" i="3"/>
  <c r="BE57" i="3"/>
  <c r="AF57" i="3"/>
  <c r="AI57" i="3" s="1"/>
  <c r="W57" i="3"/>
  <c r="P57" i="3"/>
  <c r="M57" i="3"/>
  <c r="J57" i="3"/>
  <c r="F57" i="3"/>
  <c r="A57" i="3"/>
  <c r="BE56" i="3"/>
  <c r="AF56" i="3"/>
  <c r="W56" i="3"/>
  <c r="P56" i="3"/>
  <c r="M56" i="3"/>
  <c r="J56" i="3"/>
  <c r="F56" i="3"/>
  <c r="A56" i="3"/>
  <c r="BE55" i="3"/>
  <c r="AF55" i="3"/>
  <c r="AI55" i="3" s="1"/>
  <c r="W55" i="3"/>
  <c r="P55" i="3"/>
  <c r="M55" i="3"/>
  <c r="J55" i="3"/>
  <c r="F55" i="3"/>
  <c r="A55" i="3"/>
  <c r="BE54" i="3"/>
  <c r="AF54" i="3"/>
  <c r="W54" i="3"/>
  <c r="P54" i="3"/>
  <c r="M54" i="3"/>
  <c r="J54" i="3"/>
  <c r="F54" i="3"/>
  <c r="A54" i="3"/>
  <c r="BE53" i="3"/>
  <c r="AF53" i="3"/>
  <c r="AI53" i="3" s="1"/>
  <c r="W53" i="3"/>
  <c r="P53" i="3"/>
  <c r="M53" i="3"/>
  <c r="J53" i="3"/>
  <c r="F53" i="3"/>
  <c r="A53" i="3"/>
  <c r="BE52" i="3"/>
  <c r="AF52" i="3"/>
  <c r="W52" i="3"/>
  <c r="P52" i="3"/>
  <c r="M52" i="3"/>
  <c r="J52" i="3"/>
  <c r="F52" i="3"/>
  <c r="A52" i="3"/>
  <c r="BE51" i="3"/>
  <c r="AF51" i="3"/>
  <c r="AI51" i="3" s="1"/>
  <c r="W51" i="3"/>
  <c r="P51" i="3"/>
  <c r="M51" i="3"/>
  <c r="J51" i="3"/>
  <c r="F51" i="3"/>
  <c r="A51" i="3"/>
  <c r="BE50" i="3"/>
  <c r="AF50" i="3"/>
  <c r="W50" i="3"/>
  <c r="P50" i="3"/>
  <c r="M50" i="3"/>
  <c r="J50" i="3"/>
  <c r="F50" i="3"/>
  <c r="A50" i="3"/>
  <c r="BE49" i="3"/>
  <c r="AF49" i="3"/>
  <c r="AI49" i="3" s="1"/>
  <c r="W49" i="3"/>
  <c r="P49" i="3"/>
  <c r="M49" i="3"/>
  <c r="J49" i="3"/>
  <c r="F49" i="3"/>
  <c r="A49" i="3"/>
  <c r="BE48" i="3"/>
  <c r="AF48" i="3"/>
  <c r="W48" i="3"/>
  <c r="P48" i="3"/>
  <c r="M48" i="3"/>
  <c r="J48" i="3"/>
  <c r="F48" i="3"/>
  <c r="A48" i="3"/>
  <c r="BE47" i="3"/>
  <c r="AF47" i="3"/>
  <c r="AI47" i="3" s="1"/>
  <c r="W47" i="3"/>
  <c r="P47" i="3"/>
  <c r="M47" i="3"/>
  <c r="J47" i="3"/>
  <c r="F47" i="3"/>
  <c r="A47" i="3"/>
  <c r="BE46" i="3"/>
  <c r="AF46" i="3"/>
  <c r="W46" i="3"/>
  <c r="P46" i="3"/>
  <c r="M46" i="3"/>
  <c r="J46" i="3"/>
  <c r="F46" i="3"/>
  <c r="A46" i="3"/>
  <c r="BE45" i="3"/>
  <c r="AF45" i="3"/>
  <c r="AI45" i="3" s="1"/>
  <c r="W45" i="3"/>
  <c r="P45" i="3"/>
  <c r="M45" i="3"/>
  <c r="J45" i="3"/>
  <c r="F45" i="3"/>
  <c r="A45" i="3"/>
  <c r="BE44" i="3"/>
  <c r="AF44" i="3"/>
  <c r="W44" i="3"/>
  <c r="P44" i="3"/>
  <c r="M44" i="3"/>
  <c r="J44" i="3"/>
  <c r="F44" i="3"/>
  <c r="A44" i="3"/>
  <c r="BE43" i="3"/>
  <c r="AF43" i="3"/>
  <c r="AI43" i="3" s="1"/>
  <c r="W43" i="3"/>
  <c r="P43" i="3"/>
  <c r="M43" i="3"/>
  <c r="J43" i="3"/>
  <c r="F43" i="3"/>
  <c r="A43" i="3"/>
  <c r="BE42" i="3"/>
  <c r="AF42" i="3"/>
  <c r="W42" i="3"/>
  <c r="P42" i="3"/>
  <c r="M42" i="3"/>
  <c r="J42" i="3"/>
  <c r="F42" i="3"/>
  <c r="A42" i="3"/>
  <c r="BE41" i="3"/>
  <c r="AF41" i="3"/>
  <c r="AI41" i="3" s="1"/>
  <c r="W41" i="3"/>
  <c r="P41" i="3"/>
  <c r="M41" i="3"/>
  <c r="J41" i="3"/>
  <c r="F41" i="3"/>
  <c r="A41" i="3"/>
  <c r="BE40" i="3"/>
  <c r="AF40" i="3"/>
  <c r="AI40" i="3" s="1"/>
  <c r="W40" i="3"/>
  <c r="P40" i="3"/>
  <c r="M40" i="3"/>
  <c r="J40" i="3"/>
  <c r="F40" i="3"/>
  <c r="A40" i="3"/>
  <c r="BE39" i="3"/>
  <c r="AF39" i="3"/>
  <c r="AI39" i="3" s="1"/>
  <c r="W39" i="3"/>
  <c r="P39" i="3"/>
  <c r="M39" i="3"/>
  <c r="J39" i="3"/>
  <c r="F39" i="3"/>
  <c r="A39" i="3"/>
  <c r="BE38" i="3"/>
  <c r="AF38" i="3"/>
  <c r="AI38" i="3" s="1"/>
  <c r="W38" i="3"/>
  <c r="P38" i="3"/>
  <c r="M38" i="3"/>
  <c r="J38" i="3"/>
  <c r="F38" i="3"/>
  <c r="A38" i="3"/>
  <c r="BE37" i="3"/>
  <c r="AF37" i="3"/>
  <c r="AI37" i="3" s="1"/>
  <c r="W37" i="3"/>
  <c r="P37" i="3"/>
  <c r="M37" i="3"/>
  <c r="J37" i="3"/>
  <c r="F37" i="3"/>
  <c r="A37" i="3"/>
  <c r="BE36" i="3"/>
  <c r="AF36" i="3"/>
  <c r="AI36" i="3" s="1"/>
  <c r="W36" i="3"/>
  <c r="P36" i="3"/>
  <c r="M36" i="3"/>
  <c r="J36" i="3"/>
  <c r="F36" i="3"/>
  <c r="A36" i="3"/>
  <c r="BE35" i="3"/>
  <c r="AF35" i="3"/>
  <c r="AI35" i="3" s="1"/>
  <c r="W35" i="3"/>
  <c r="P35" i="3"/>
  <c r="M35" i="3"/>
  <c r="J35" i="3"/>
  <c r="F35" i="3"/>
  <c r="A35" i="3"/>
  <c r="BE34" i="3"/>
  <c r="AF34" i="3"/>
  <c r="AI34" i="3" s="1"/>
  <c r="W34" i="3"/>
  <c r="P34" i="3"/>
  <c r="M34" i="3"/>
  <c r="J34" i="3"/>
  <c r="F34" i="3"/>
  <c r="A34" i="3"/>
  <c r="BE33" i="3"/>
  <c r="AF33" i="3"/>
  <c r="AI33" i="3" s="1"/>
  <c r="W33" i="3"/>
  <c r="P33" i="3"/>
  <c r="M33" i="3"/>
  <c r="J33" i="3"/>
  <c r="F33" i="3"/>
  <c r="A33" i="3"/>
  <c r="BE32" i="3"/>
  <c r="AF32" i="3"/>
  <c r="AI32" i="3" s="1"/>
  <c r="W32" i="3"/>
  <c r="P32" i="3"/>
  <c r="M32" i="3"/>
  <c r="J32" i="3"/>
  <c r="F32" i="3"/>
  <c r="A32" i="3"/>
  <c r="BE31" i="3"/>
  <c r="AF31" i="3"/>
  <c r="AI31" i="3" s="1"/>
  <c r="W31" i="3"/>
  <c r="P31" i="3"/>
  <c r="M31" i="3"/>
  <c r="J31" i="3"/>
  <c r="F31" i="3"/>
  <c r="A31" i="3"/>
  <c r="BE30" i="3"/>
  <c r="AF30" i="3"/>
  <c r="AI30" i="3" s="1"/>
  <c r="P30" i="3"/>
  <c r="J30" i="3"/>
  <c r="F30" i="3"/>
  <c r="A30" i="3"/>
  <c r="BE29" i="3"/>
  <c r="AF29" i="3"/>
  <c r="AI29" i="3" s="1"/>
  <c r="P29" i="3"/>
  <c r="J29" i="3"/>
  <c r="F29" i="3"/>
  <c r="A29" i="3"/>
  <c r="BE28" i="3"/>
  <c r="AF28" i="3"/>
  <c r="AI28" i="3" s="1"/>
  <c r="P28" i="3"/>
  <c r="J28" i="3"/>
  <c r="F28" i="3"/>
  <c r="A28" i="3"/>
  <c r="BE27" i="3"/>
  <c r="AF27" i="3"/>
  <c r="AI27" i="3" s="1"/>
  <c r="P27" i="3"/>
  <c r="J27" i="3"/>
  <c r="F27" i="3"/>
  <c r="A27" i="3"/>
  <c r="BE26" i="3"/>
  <c r="AF26" i="3"/>
  <c r="AI26" i="3" s="1"/>
  <c r="P26" i="3"/>
  <c r="J26" i="3"/>
  <c r="F26" i="3"/>
  <c r="A26" i="3"/>
  <c r="BE25" i="3"/>
  <c r="AF25" i="3"/>
  <c r="AI25" i="3" s="1"/>
  <c r="P25" i="3"/>
  <c r="J25" i="3"/>
  <c r="F25" i="3"/>
  <c r="A25" i="3"/>
  <c r="BE24" i="3"/>
  <c r="AF24" i="3"/>
  <c r="AI24" i="3" s="1"/>
  <c r="P24" i="3"/>
  <c r="J24" i="3"/>
  <c r="F24" i="3"/>
  <c r="A24" i="3"/>
  <c r="BE23" i="3"/>
  <c r="AF23" i="3"/>
  <c r="AI23" i="3" s="1"/>
  <c r="P23" i="3"/>
  <c r="J23" i="3"/>
  <c r="F23" i="3"/>
  <c r="A23" i="3"/>
  <c r="BE22" i="3"/>
  <c r="AF22" i="3"/>
  <c r="AI22" i="3" s="1"/>
  <c r="P22" i="3"/>
  <c r="J22" i="3"/>
  <c r="F22" i="3"/>
  <c r="A22" i="3"/>
  <c r="BE21" i="3"/>
  <c r="AF21" i="3"/>
  <c r="AI21" i="3" s="1"/>
  <c r="P21" i="3"/>
  <c r="J21" i="3"/>
  <c r="F21" i="3"/>
  <c r="A21" i="3"/>
  <c r="BE20" i="3"/>
  <c r="AF20" i="3"/>
  <c r="AI20" i="3" s="1"/>
  <c r="P20" i="3"/>
  <c r="J20" i="3"/>
  <c r="F20" i="3"/>
  <c r="A20" i="3"/>
  <c r="BE19" i="3"/>
  <c r="AF19" i="3"/>
  <c r="AI19" i="3" s="1"/>
  <c r="P19" i="3"/>
  <c r="J19" i="3"/>
  <c r="F19" i="3"/>
  <c r="A19" i="3"/>
  <c r="BE18" i="3"/>
  <c r="AF18" i="3"/>
  <c r="AI18" i="3" s="1"/>
  <c r="P18" i="3"/>
  <c r="J18" i="3"/>
  <c r="F18" i="3"/>
  <c r="A18" i="3"/>
  <c r="BE17" i="3"/>
  <c r="AF17" i="3"/>
  <c r="AI17" i="3" s="1"/>
  <c r="P17" i="3"/>
  <c r="J17" i="3"/>
  <c r="F17" i="3"/>
  <c r="A17" i="3"/>
  <c r="BE16" i="3"/>
  <c r="AF16" i="3"/>
  <c r="AI16" i="3" s="1"/>
  <c r="P16" i="3"/>
  <c r="J16" i="3"/>
  <c r="F16" i="3"/>
  <c r="A16" i="3"/>
  <c r="BE15" i="3"/>
  <c r="AF15" i="3"/>
  <c r="AI15" i="3" s="1"/>
  <c r="P15" i="3"/>
  <c r="J15" i="3"/>
  <c r="F15" i="3"/>
  <c r="A15" i="3"/>
  <c r="BE14" i="3"/>
  <c r="AF14" i="3"/>
  <c r="AI14" i="3" s="1"/>
  <c r="P14" i="3"/>
  <c r="J14" i="3"/>
  <c r="F14" i="3"/>
  <c r="A14" i="3"/>
  <c r="BE13" i="3"/>
  <c r="AF13" i="3"/>
  <c r="AI13" i="3" s="1"/>
  <c r="P13" i="3"/>
  <c r="J13" i="3"/>
  <c r="F13" i="3"/>
  <c r="A13" i="3"/>
  <c r="BE12" i="3"/>
  <c r="AF12" i="3"/>
  <c r="AI12" i="3" s="1"/>
  <c r="P12" i="3"/>
  <c r="J12" i="3"/>
  <c r="F12" i="3"/>
  <c r="A12" i="3"/>
  <c r="BE11" i="3"/>
  <c r="AF11" i="3"/>
  <c r="AI11" i="3" s="1"/>
  <c r="P11" i="3"/>
  <c r="J11" i="3"/>
  <c r="F11" i="3"/>
  <c r="A11" i="3"/>
  <c r="BE10" i="3"/>
  <c r="AF10" i="3"/>
  <c r="AI10" i="3" s="1"/>
  <c r="P10" i="3"/>
  <c r="J10" i="3"/>
  <c r="F10" i="3"/>
  <c r="A10" i="3"/>
  <c r="BE9" i="3"/>
  <c r="AF9" i="3"/>
  <c r="AI9" i="3" s="1"/>
  <c r="P9" i="3"/>
  <c r="J9" i="3"/>
  <c r="F9" i="3"/>
  <c r="A9" i="3"/>
  <c r="BE8" i="3"/>
  <c r="AF8" i="3"/>
  <c r="AI8" i="3" s="1"/>
  <c r="P8" i="3"/>
  <c r="J8" i="3"/>
  <c r="F8" i="3"/>
  <c r="A8" i="3"/>
  <c r="BE7" i="3"/>
  <c r="AF7" i="3"/>
  <c r="AI7" i="3" s="1"/>
  <c r="P7" i="3"/>
  <c r="J7" i="3"/>
  <c r="F7" i="3"/>
  <c r="A7" i="3"/>
  <c r="BE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<sst xmlns="http://schemas.openxmlformats.org/spreadsheetml/2006/main" count="437" uniqueCount="294">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</sst>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9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M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69" width="18.5" style="2" hidden="1" customWidth="1"/>
    <col min="70" max="70" width="21.5" style="2" hidden="1" customWidth="1"/>
    <col min="71" max="71" width="22.6640625" style="2" hidden="1" customWidth="1"/>
    <col min="72" max="72" width="10.83203125" style="2" hidden="1" customWidth="1"/>
    <col min="73" max="73" width="20.6640625" style="2" hidden="1" customWidth="1"/>
    <col min="74" max="74" width="22.33203125" style="2" hidden="1" customWidth="1"/>
    <col min="75" max="75" width="21.83203125" style="2" hidden="1" customWidth="1"/>
    <col min="76" max="76" width="28.1640625" style="2" hidden="1" customWidth="1"/>
    <col min="77" max="77" width="28.83203125" style="2" hidden="1" customWidth="1"/>
    <col min="78" max="78" width="15.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5" t="s">
        <v>39</v>
      </c>
      <c r="B3" s="55"/>
      <c r="C3" s="55"/>
      <c r="D3" s="55"/>
      <c r="E3" s="55"/>
      <c r="F3" s="55" t="s">
        <v>40</v>
      </c>
      <c r="G3" s="55"/>
      <c r="H3" s="55"/>
      <c r="I3" s="55"/>
      <c r="J3" s="55"/>
      <c r="K3" s="55"/>
      <c r="L3" s="13" t="s">
        <v>41</v>
      </c>
      <c r="M3" s="55" t="s">
        <v>42</v>
      </c>
      <c r="N3" s="55"/>
      <c r="O3" s="7"/>
      <c r="P3" s="55" t="s">
        <v>43</v>
      </c>
      <c r="Q3" s="55"/>
      <c r="R3" s="55"/>
      <c r="S3" s="55"/>
      <c r="T3" s="55"/>
      <c r="U3" s="55" t="s">
        <v>44</v>
      </c>
      <c r="V3" s="55"/>
      <c r="W3" s="55"/>
      <c r="X3" s="55"/>
      <c r="Y3" s="55"/>
      <c r="Z3" s="6" t="s">
        <v>45</v>
      </c>
      <c r="AA3" s="55" t="s">
        <v>46</v>
      </c>
      <c r="AB3" s="55"/>
      <c r="AC3" s="55"/>
      <c r="AD3" s="55" t="s">
        <v>261</v>
      </c>
      <c r="AE3" s="56"/>
      <c r="AF3" s="55" t="s">
        <v>262</v>
      </c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5" t="s">
        <v>47</v>
      </c>
      <c r="AR3" s="55"/>
      <c r="AS3" s="55"/>
      <c r="AT3" s="55"/>
      <c r="AU3" s="55"/>
      <c r="AV3" s="55" t="s">
        <v>48</v>
      </c>
      <c r="AW3" s="55"/>
      <c r="AX3" s="28"/>
      <c r="AY3" s="55" t="s">
        <v>263</v>
      </c>
      <c r="AZ3" s="55"/>
      <c r="BA3" s="55" t="s">
        <v>49</v>
      </c>
      <c r="BB3" s="55"/>
      <c r="BC3" s="55" t="s">
        <v>50</v>
      </c>
      <c r="BD3" s="55"/>
      <c r="BE3" s="55" t="s">
        <v>212</v>
      </c>
      <c r="BF3" s="56"/>
      <c r="BG3" s="56"/>
      <c r="BH3" s="56"/>
      <c r="BI3" s="56"/>
      <c r="BJ3" s="56"/>
      <c r="BK3" s="56"/>
      <c r="BL3" s="56"/>
      <c r="BM3" s="56"/>
      <c r="BN3" s="55" t="s">
        <v>51</v>
      </c>
      <c r="BO3" s="55"/>
      <c r="BP3" s="55"/>
      <c r="BQ3" s="6" t="s">
        <v>264</v>
      </c>
      <c r="BR3" s="55" t="s">
        <v>267</v>
      </c>
      <c r="BS3" s="56"/>
      <c r="BT3" s="55" t="s">
        <v>272</v>
      </c>
      <c r="BU3" s="56"/>
      <c r="BV3" s="56"/>
      <c r="BW3" s="56"/>
      <c r="BX3" s="56"/>
      <c r="BY3" s="56"/>
      <c r="BZ3" s="55" t="s">
        <v>276</v>
      </c>
      <c r="CA3" s="55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265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242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290</v>
      </c>
      <c r="AR4" s="5" t="s">
        <v>289</v>
      </c>
      <c r="AS4" s="5" t="s">
        <v>288</v>
      </c>
      <c r="AT4" s="5" t="s">
        <v>30</v>
      </c>
      <c r="AU4" s="5" t="s">
        <v>230</v>
      </c>
      <c r="AV4" s="5" t="s">
        <v>31</v>
      </c>
      <c r="AW4" s="5" t="s">
        <v>32</v>
      </c>
      <c r="AX4" s="5" t="s">
        <v>258</v>
      </c>
      <c r="AY4" s="5" t="s">
        <v>257</v>
      </c>
      <c r="AZ4" s="53" t="s">
        <v>292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213</v>
      </c>
      <c r="BF4" s="5" t="s">
        <v>220</v>
      </c>
      <c r="BG4" s="5" t="s">
        <v>219</v>
      </c>
      <c r="BH4" s="5" t="s">
        <v>218</v>
      </c>
      <c r="BI4" s="5" t="s">
        <v>217</v>
      </c>
      <c r="BJ4" s="5" t="s">
        <v>277</v>
      </c>
      <c r="BK4" s="5" t="s">
        <v>216</v>
      </c>
      <c r="BL4" s="5" t="s">
        <v>215</v>
      </c>
      <c r="BM4" s="5" t="s">
        <v>214</v>
      </c>
      <c r="BN4" s="5" t="s">
        <v>229</v>
      </c>
      <c r="BO4" s="5" t="s">
        <v>37</v>
      </c>
      <c r="BP4" s="5" t="s">
        <v>38</v>
      </c>
      <c r="BQ4" s="5" t="s">
        <v>256</v>
      </c>
      <c r="BR4" s="5" t="s">
        <v>252</v>
      </c>
      <c r="BS4" s="5" t="s">
        <v>253</v>
      </c>
      <c r="BT4" s="5" t="s">
        <v>254</v>
      </c>
      <c r="BU4" s="5" t="s">
        <v>255</v>
      </c>
      <c r="BV4" s="5" t="s">
        <v>268</v>
      </c>
      <c r="BW4" s="5" t="s">
        <v>269</v>
      </c>
      <c r="BX4" s="5" t="s">
        <v>270</v>
      </c>
      <c r="BY4" s="5" t="s">
        <v>271</v>
      </c>
      <c r="BZ4" s="5" t="s">
        <v>274</v>
      </c>
      <c r="CA4" s="5" t="s">
        <v>275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0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R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2">IF(OR($G7="Primary Debulking", $G7="Laparoscopic Biopsy"), "0", IF($G7="Interval Debulking", "1", ""))</f>
        <v/>
      </c>
      <c r="G7" s="32"/>
      <c r="H7" s="12"/>
      <c r="I7" s="32"/>
      <c r="J7" s="8" t="str">
        <f t="shared" ref="J7:J38" si="3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0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0"/>
      <c r="BR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2"/>
        <v/>
      </c>
      <c r="G8" s="32"/>
      <c r="H8" s="12"/>
      <c r="I8" s="32"/>
      <c r="J8" s="8" t="str">
        <f t="shared" si="3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0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0"/>
      <c r="BR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2"/>
        <v/>
      </c>
      <c r="G9" s="32"/>
      <c r="H9" s="12"/>
      <c r="I9" s="32"/>
      <c r="J9" s="8" t="str">
        <f t="shared" si="3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0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0"/>
      <c r="BR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2"/>
        <v/>
      </c>
      <c r="G10" s="32"/>
      <c r="H10" s="12"/>
      <c r="I10" s="32"/>
      <c r="J10" s="8" t="str">
        <f t="shared" si="3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0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0"/>
      <c r="BR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2"/>
        <v/>
      </c>
      <c r="G11" s="32"/>
      <c r="H11" s="12"/>
      <c r="I11" s="32"/>
      <c r="J11" s="8" t="str">
        <f t="shared" si="3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0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0"/>
      <c r="BR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2"/>
        <v/>
      </c>
      <c r="G12" s="32"/>
      <c r="H12" s="12"/>
      <c r="I12" s="32"/>
      <c r="J12" s="8" t="str">
        <f t="shared" si="3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0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0"/>
      <c r="BR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2"/>
        <v/>
      </c>
      <c r="G13" s="32"/>
      <c r="H13" s="12"/>
      <c r="I13" s="32"/>
      <c r="J13" s="8" t="str">
        <f t="shared" si="3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1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2"/>
      <c r="BR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2"/>
        <v/>
      </c>
      <c r="G14" s="32"/>
      <c r="H14" s="12"/>
      <c r="I14" s="32"/>
      <c r="J14" s="8" t="str">
        <f t="shared" si="3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0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1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2"/>
      <c r="BR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2"/>
        <v/>
      </c>
      <c r="G15" s="32"/>
      <c r="H15" s="12"/>
      <c r="I15" s="32"/>
      <c r="J15" s="8" t="str">
        <f t="shared" si="3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0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1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2"/>
      <c r="BR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2"/>
        <v/>
      </c>
      <c r="G16" s="32"/>
      <c r="H16" s="12"/>
      <c r="I16" s="32"/>
      <c r="J16" s="8" t="str">
        <f t="shared" si="3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0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1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2"/>
      <c r="BR16" s="16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2"/>
        <v/>
      </c>
      <c r="G17" s="32"/>
      <c r="H17" s="12"/>
      <c r="I17" s="32"/>
      <c r="J17" s="8" t="str">
        <f t="shared" si="3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0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1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32"/>
      <c r="BR17" s="16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2"/>
        <v/>
      </c>
      <c r="G18" s="32"/>
      <c r="H18" s="12"/>
      <c r="I18" s="32"/>
      <c r="J18" s="8" t="str">
        <f t="shared" si="3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0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1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32"/>
      <c r="BR18" s="16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2"/>
        <v/>
      </c>
      <c r="G19" s="32"/>
      <c r="H19" s="12"/>
      <c r="I19" s="32"/>
      <c r="J19" s="8" t="str">
        <f t="shared" si="3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0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1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32"/>
      <c r="BR19" s="16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2"/>
        <v/>
      </c>
      <c r="G20" s="32"/>
      <c r="H20" s="12"/>
      <c r="I20" s="32"/>
      <c r="J20" s="8" t="str">
        <f t="shared" si="3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0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1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32"/>
      <c r="BR20" s="16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2"/>
        <v/>
      </c>
      <c r="G21" s="32"/>
      <c r="H21" s="12"/>
      <c r="I21" s="32"/>
      <c r="J21" s="8" t="str">
        <f t="shared" si="3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0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1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32"/>
      <c r="BR21" s="16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2"/>
        <v/>
      </c>
      <c r="G22" s="32"/>
      <c r="H22" s="12"/>
      <c r="I22" s="32"/>
      <c r="J22" s="8" t="str">
        <f t="shared" si="3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0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1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32"/>
      <c r="BR22" s="16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2"/>
        <v/>
      </c>
      <c r="G23" s="32"/>
      <c r="H23" s="12"/>
      <c r="I23" s="32"/>
      <c r="J23" s="8" t="str">
        <f t="shared" si="3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0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1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32"/>
      <c r="BR23" s="16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2"/>
        <v/>
      </c>
      <c r="G24" s="32"/>
      <c r="H24" s="12"/>
      <c r="I24" s="32"/>
      <c r="J24" s="8" t="str">
        <f t="shared" si="3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0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1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2"/>
      <c r="BR24" s="16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2"/>
        <v/>
      </c>
      <c r="G25" s="32"/>
      <c r="H25" s="12"/>
      <c r="I25" s="32"/>
      <c r="J25" s="8" t="str">
        <f t="shared" si="3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0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1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2"/>
      <c r="BR25" s="16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2"/>
        <v/>
      </c>
      <c r="G26" s="32"/>
      <c r="H26" s="12"/>
      <c r="I26" s="32"/>
      <c r="J26" s="8" t="str">
        <f t="shared" si="3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0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1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2"/>
      <c r="BR26" s="16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2"/>
        <v/>
      </c>
      <c r="G27" s="32"/>
      <c r="H27" s="12"/>
      <c r="I27" s="32"/>
      <c r="J27" s="8" t="str">
        <f t="shared" si="3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0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1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2"/>
      <c r="BR27" s="16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2"/>
        <v/>
      </c>
      <c r="G28" s="32"/>
      <c r="H28" s="12"/>
      <c r="I28" s="32"/>
      <c r="J28" s="8" t="str">
        <f t="shared" si="3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0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1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2"/>
      <c r="BR28" s="16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2"/>
        <v/>
      </c>
      <c r="G29" s="32"/>
      <c r="H29" s="12"/>
      <c r="I29" s="32"/>
      <c r="J29" s="8" t="str">
        <f t="shared" si="3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0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1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2"/>
      <c r="BR29" s="16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2"/>
        <v/>
      </c>
      <c r="G30" s="32"/>
      <c r="H30" s="12"/>
      <c r="I30" s="32"/>
      <c r="J30" s="8" t="str">
        <f t="shared" si="3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1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2"/>
      <c r="BR30" s="16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2"/>
        <v/>
      </c>
      <c r="G31" s="32"/>
      <c r="H31" s="12"/>
      <c r="I31" s="32"/>
      <c r="J31" s="8" t="str">
        <f t="shared" si="3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0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1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32"/>
      <c r="BR31" s="16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2"/>
        <v/>
      </c>
      <c r="G32" s="32"/>
      <c r="H32" s="12"/>
      <c r="I32" s="32"/>
      <c r="J32" s="8" t="str">
        <f t="shared" si="3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0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1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32"/>
      <c r="BR32" s="16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2"/>
        <v/>
      </c>
      <c r="G33" s="32"/>
      <c r="H33" s="12"/>
      <c r="I33" s="32"/>
      <c r="J33" s="8" t="str">
        <f t="shared" si="3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0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1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32"/>
      <c r="BR33" s="16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2"/>
        <v/>
      </c>
      <c r="G34" s="32"/>
      <c r="H34" s="12"/>
      <c r="I34" s="32"/>
      <c r="J34" s="8" t="str">
        <f t="shared" si="3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0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1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32"/>
      <c r="BR34" s="16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2"/>
        <v/>
      </c>
      <c r="G35" s="32"/>
      <c r="H35" s="12"/>
      <c r="I35" s="32"/>
      <c r="J35" s="8" t="str">
        <f t="shared" si="3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0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1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32"/>
      <c r="BR35" s="16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2"/>
        <v/>
      </c>
      <c r="G36" s="32"/>
      <c r="H36" s="12"/>
      <c r="I36" s="32"/>
      <c r="J36" s="8" t="str">
        <f t="shared" si="3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1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32"/>
      <c r="BR36" s="16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2"/>
        <v/>
      </c>
      <c r="G37" s="32"/>
      <c r="H37" s="12"/>
      <c r="I37" s="32"/>
      <c r="J37" s="8" t="str">
        <f t="shared" si="3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0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1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32"/>
      <c r="BR37" s="16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2"/>
        <v/>
      </c>
      <c r="G38" s="32"/>
      <c r="H38" s="12"/>
      <c r="I38" s="32"/>
      <c r="J38" s="8" t="str">
        <f t="shared" si="3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0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1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32"/>
      <c r="BR38" s="16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0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1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0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1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0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1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0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1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0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1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0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1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0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1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0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1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0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1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0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1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0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1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0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1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0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1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0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1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0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1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0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1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0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1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1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0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1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0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1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0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1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0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1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0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1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0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1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0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1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0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0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0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0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0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0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6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6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6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6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6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6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6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6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6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8">
    <mergeCell ref="M3:N3"/>
    <mergeCell ref="P3:T3"/>
    <mergeCell ref="BZ3:CA3"/>
    <mergeCell ref="AY3:AZ3"/>
    <mergeCell ref="A3:E3"/>
    <mergeCell ref="BN3:BP3"/>
    <mergeCell ref="AA3:AC3"/>
    <mergeCell ref="AQ3:AU3"/>
    <mergeCell ref="AV3:AW3"/>
    <mergeCell ref="BA3:BB3"/>
    <mergeCell ref="BC3:BD3"/>
    <mergeCell ref="BE3:BM3"/>
    <mergeCell ref="AD3:AE3"/>
    <mergeCell ref="AF3:AP3"/>
    <mergeCell ref="BR3:BS3"/>
    <mergeCell ref="BT3:BY3"/>
    <mergeCell ref="U3:Y3"/>
    <mergeCell ref="F3:K3"/>
  </mergeCells>
  <phoneticPr fontId="7" type="noConversion"/>
  <conditionalFormatting sqref="O6:O100">
    <cfRule type="expression" dxfId="68" priority="78">
      <formula>$L6="Yes"</formula>
    </cfRule>
  </conditionalFormatting>
  <conditionalFormatting sqref="A6:A100">
    <cfRule type="containsBlanks" dxfId="67" priority="77">
      <formula>LEN(TRIM(A6))=0</formula>
    </cfRule>
  </conditionalFormatting>
  <conditionalFormatting sqref="M6 M39:M100">
    <cfRule type="expression" dxfId="66" priority="76">
      <formula>$L6="Yes"</formula>
    </cfRule>
  </conditionalFormatting>
  <conditionalFormatting sqref="U6:V100 X6:Y100">
    <cfRule type="expression" dxfId="65" priority="75">
      <formula>$T6="Single Cell Suspension"</formula>
    </cfRule>
  </conditionalFormatting>
  <conditionalFormatting sqref="Z6:AE100">
    <cfRule type="expression" dxfId="64" priority="82">
      <formula>$Y6="Unsorted Single Cell Sequencing"</formula>
    </cfRule>
  </conditionalFormatting>
  <conditionalFormatting sqref="AD6:AE100">
    <cfRule type="expression" dxfId="63" priority="81">
      <formula>$Y6="Unsorted Single Cell Sequencing"</formula>
    </cfRule>
  </conditionalFormatting>
  <conditionalFormatting sqref="AJ6:AP100">
    <cfRule type="notContainsBlanks" dxfId="62" priority="52">
      <formula>LEN(TRIM(AJ6))&gt;0</formula>
    </cfRule>
    <cfRule type="expression" dxfId="61" priority="53">
      <formula>$Y6="Sorted Single Cell Sequencing"</formula>
    </cfRule>
    <cfRule type="expression" dxfId="60" priority="54">
      <formula>$Y6="Unsorted Single Cell Sequencing"</formula>
    </cfRule>
  </conditionalFormatting>
  <conditionalFormatting sqref="X6:Y100 AV7:AX7 AV6:AZ6 AV8:AZ100 BZ13:CA13">
    <cfRule type="notContainsBlanks" dxfId="59" priority="22">
      <formula>LEN(TRIM(X6))&gt;0</formula>
    </cfRule>
  </conditionalFormatting>
  <conditionalFormatting sqref="AQ6:AU100">
    <cfRule type="notContainsBlanks" dxfId="58" priority="14">
      <formula>LEN(TRIM(AQ6))&gt;0</formula>
    </cfRule>
    <cfRule type="expression" dxfId="57" priority="64">
      <formula>$T6="Frozen Tissue"</formula>
    </cfRule>
    <cfRule type="expression" dxfId="56" priority="68">
      <formula>$T6="FFPE Block"</formula>
    </cfRule>
  </conditionalFormatting>
  <conditionalFormatting sqref="U6:V100">
    <cfRule type="notContainsBlanks" dxfId="55" priority="44">
      <formula>LEN(TRIM(U6))&gt;0</formula>
    </cfRule>
    <cfRule type="notContainsBlanks" dxfId="54" priority="112">
      <formula>LEN(TRIM(U6))&gt;0</formula>
    </cfRule>
    <cfRule type="expression" dxfId="53" priority="113">
      <formula>$T6="Single Cell Suspension"</formula>
    </cfRule>
  </conditionalFormatting>
  <conditionalFormatting sqref="AV6:AX7 BA6:BM6 BA7:BE7 BF7:BM100 AV8:BE100">
    <cfRule type="expression" dxfId="52" priority="67">
      <formula>$AU6="IF"</formula>
    </cfRule>
  </conditionalFormatting>
  <conditionalFormatting sqref="BA11:BB100 BA6:BB8">
    <cfRule type="expression" dxfId="51" priority="62">
      <formula>$AX6="Curls"</formula>
    </cfRule>
  </conditionalFormatting>
  <conditionalFormatting sqref="AV6:AX7 BA6:BP6 BA7:BE7 BF7:BP100 AV8:BE100">
    <cfRule type="expression" dxfId="50" priority="84">
      <formula>$AU6="Storage Only"</formula>
    </cfRule>
  </conditionalFormatting>
  <conditionalFormatting sqref="BA6:BE100">
    <cfRule type="notContainsBlanks" dxfId="49" priority="33">
      <formula>LEN(TRIM(BA6))&gt;0</formula>
    </cfRule>
  </conditionalFormatting>
  <conditionalFormatting sqref="BN6:BP100">
    <cfRule type="notContainsBlanks" dxfId="48" priority="36">
      <formula>LEN(TRIM(BN6))&gt;0</formula>
    </cfRule>
    <cfRule type="expression" dxfId="47" priority="39">
      <formula>$AU6="IF"</formula>
    </cfRule>
  </conditionalFormatting>
  <conditionalFormatting sqref="O6:O100">
    <cfRule type="expression" dxfId="46" priority="46">
      <formula>$L6="No"</formula>
    </cfRule>
  </conditionalFormatting>
  <conditionalFormatting sqref="BG6:BM100">
    <cfRule type="notContainsBlanks" dxfId="45" priority="20">
      <formula>LEN(TRIM(BG6))&gt;0</formula>
    </cfRule>
    <cfRule type="expression" dxfId="44" priority="58">
      <formula>$BF6="IGO"</formula>
    </cfRule>
  </conditionalFormatting>
  <conditionalFormatting sqref="Z6:AE100">
    <cfRule type="notContainsBlanks" dxfId="43" priority="69">
      <formula>LEN(TRIM(Z6))&gt;0</formula>
    </cfRule>
    <cfRule type="expression" dxfId="42" priority="70">
      <formula>$Y6="Sorted Single Cell Sequencing"</formula>
    </cfRule>
  </conditionalFormatting>
  <conditionalFormatting sqref="AV6:BE100">
    <cfRule type="expression" dxfId="41" priority="63">
      <formula>$T6="FFPE Block"</formula>
    </cfRule>
  </conditionalFormatting>
  <conditionalFormatting sqref="AG6:AP100 U6:AE100">
    <cfRule type="expression" dxfId="40" priority="45">
      <formula>$T6="Frozen Tissue"</formula>
    </cfRule>
    <cfRule type="expression" dxfId="39" priority="49">
      <formula>$T6="FFPE Block"</formula>
    </cfRule>
  </conditionalFormatting>
  <conditionalFormatting sqref="BR6:CA100">
    <cfRule type="expression" dxfId="38" priority="10">
      <formula>$Y6="Storage Only"</formula>
    </cfRule>
    <cfRule type="notContainsBlanks" dxfId="37" priority="12">
      <formula>LEN(TRIM(BR6))&gt;0</formula>
    </cfRule>
  </conditionalFormatting>
  <conditionalFormatting sqref="BQ6:BQ100">
    <cfRule type="notContainsBlanks" dxfId="36" priority="23">
      <formula>LEN(TRIM(BQ6))&gt;0</formula>
    </cfRule>
    <cfRule type="expression" dxfId="35" priority="28">
      <formula>$Y6 = "Storage Only"</formula>
    </cfRule>
  </conditionalFormatting>
  <conditionalFormatting sqref="AH6:AH100">
    <cfRule type="notContainsBlanks" dxfId="34" priority="13">
      <formula>LEN(TRIM(AH6))&gt;0</formula>
    </cfRule>
    <cfRule type="expression" dxfId="33" priority="31">
      <formula>$AE6="DLP"</formula>
    </cfRule>
    <cfRule type="expression" dxfId="32" priority="32">
      <formula>$AE6 = "scRNA Sequencing"</formula>
    </cfRule>
  </conditionalFormatting>
  <conditionalFormatting sqref="M7:M11">
    <cfRule type="expression" dxfId="31" priority="26">
      <formula>$L7="Yes"</formula>
    </cfRule>
  </conditionalFormatting>
  <conditionalFormatting sqref="M12:M38">
    <cfRule type="expression" dxfId="30" priority="25">
      <formula>$L12="Yes"</formula>
    </cfRule>
  </conditionalFormatting>
  <conditionalFormatting sqref="AV6:AX100">
    <cfRule type="expression" dxfId="29" priority="65">
      <formula>$AU6="WGS Bulk Tumour"</formula>
    </cfRule>
  </conditionalFormatting>
  <conditionalFormatting sqref="AY6:AZ100">
    <cfRule type="expression" dxfId="28" priority="43">
      <formula>$AX6="Microdissect"</formula>
    </cfRule>
  </conditionalFormatting>
  <conditionalFormatting sqref="AY6:AZ6">
    <cfRule type="expression" dxfId="27" priority="115">
      <formula>$Y7="Storage Only"</formula>
    </cfRule>
  </conditionalFormatting>
  <conditionalFormatting sqref="AY6:AZ6">
    <cfRule type="expression" dxfId="26" priority="117">
      <formula>$AU7="IF"</formula>
    </cfRule>
  </conditionalFormatting>
  <conditionalFormatting sqref="AY6:AZ6">
    <cfRule type="expression" dxfId="25" priority="119">
      <formula>$AU7="Storage Only"</formula>
    </cfRule>
  </conditionalFormatting>
  <conditionalFormatting sqref="AY6:AZ6">
    <cfRule type="expression" dxfId="24" priority="123">
      <formula>$T7="Single Cell Suspension"</formula>
    </cfRule>
  </conditionalFormatting>
  <conditionalFormatting sqref="AY6:AZ100 BC6:BE100">
    <cfRule type="expression" dxfId="23" priority="37">
      <formula>$AX6="Curls"</formula>
    </cfRule>
  </conditionalFormatting>
  <conditionalFormatting sqref="AQ6:BP100">
    <cfRule type="expression" dxfId="22" priority="40">
      <formula>$T6="Single Cell Suspensions"</formula>
    </cfRule>
  </conditionalFormatting>
  <conditionalFormatting sqref="BF6:BM100">
    <cfRule type="expression" dxfId="21" priority="55">
      <formula>$T6="FFPE Block"</formula>
    </cfRule>
  </conditionalFormatting>
  <conditionalFormatting sqref="Z6:BP100">
    <cfRule type="expression" dxfId="20" priority="83">
      <formula>$Y6="Storage Only"</formula>
    </cfRule>
  </conditionalFormatting>
  <conditionalFormatting sqref="AQ6:BQ100">
    <cfRule type="expression" dxfId="19" priority="57">
      <formula>$AE6="DLP"</formula>
    </cfRule>
  </conditionalFormatting>
  <conditionalFormatting sqref="BZ6:CA100">
    <cfRule type="expression" dxfId="18" priority="15">
      <formula>$BS6="IGO"</formula>
    </cfRule>
    <cfRule type="expression" dxfId="17" priority="19">
      <formula>$BS6="BCCRC"</formula>
    </cfRule>
  </conditionalFormatting>
  <conditionalFormatting sqref="BQ6:CA100">
    <cfRule type="expression" dxfId="16" priority="11">
      <formula>$T5="FFPE Block"</formula>
    </cfRule>
    <cfRule type="expression" dxfId="15" priority="34">
      <formula>$AU6 = "Storage Only"</formula>
    </cfRule>
  </conditionalFormatting>
  <conditionalFormatting sqref="BR6:BS100">
    <cfRule type="expression" dxfId="14" priority="35">
      <formula>$AE6 = "DLP"</formula>
    </cfRule>
  </conditionalFormatting>
  <conditionalFormatting sqref="BT6:BY100">
    <cfRule type="expression" dxfId="13" priority="16">
      <formula>$BS6="IGO"</formula>
    </cfRule>
    <cfRule type="expression" dxfId="12" priority="27">
      <formula>$BS6="BCCRC"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N6:CA100">
    <cfRule type="expression" dxfId="10" priority="48">
      <formula>$AU6="WGS Bulk Tumour"</formula>
    </cfRule>
  </conditionalFormatting>
  <conditionalFormatting sqref="BA6:BB100">
    <cfRule type="expression" dxfId="9" priority="131">
      <formula>$AX6="Curls"</formula>
    </cfRule>
  </conditionalFormatting>
  <conditionalFormatting sqref="BA9:BE9">
    <cfRule type="notContainsBlanks" dxfId="8" priority="138">
      <formula>LEN(TRIM(BA9))&gt;0</formula>
    </cfRule>
    <cfRule type="expression" dxfId="7" priority="139">
      <formula>#REF!="Microdissect"</formula>
    </cfRule>
  </conditionalFormatting>
  <conditionalFormatting sqref="AY10:AZ10">
    <cfRule type="expression" dxfId="6" priority="145">
      <formula>$AX9="Microdissect"</formula>
    </cfRule>
  </conditionalFormatting>
  <conditionalFormatting sqref="AY9:AZ9">
    <cfRule type="expression" dxfId="5" priority="146">
      <formula>#REF!="Microdissect"</formula>
    </cfRule>
  </conditionalFormatting>
  <conditionalFormatting sqref="AY10:AZ10 BC10:BE10">
    <cfRule type="expression" dxfId="4" priority="148">
      <formula>$AX9="Curls"</formula>
    </cfRule>
  </conditionalFormatting>
  <conditionalFormatting sqref="AY9:AZ9 BC9:BE9">
    <cfRule type="expression" dxfId="3" priority="149">
      <formula>#REF!="Curls"</formula>
    </cfRule>
  </conditionalFormatting>
  <conditionalFormatting sqref="BA11:BE100">
    <cfRule type="expression" dxfId="2" priority="59">
      <formula>$AX11="Microdissect"</formula>
    </cfRule>
  </conditionalFormatting>
  <conditionalFormatting sqref="BA6:BE100">
    <cfRule type="notContainsBlanks" dxfId="1" priority="136">
      <formula>LEN(TRIM(BA6))&gt;0</formula>
    </cfRule>
    <cfRule type="expression" dxfId="0" priority="137">
      <formula>$AX6="Microdissect"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BQ6:BQ100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BS6:BS100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BW6:BW100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P1" workbookViewId="0">
      <selection activeCell="X3" sqref="X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258</v>
      </c>
      <c r="W2" s="3" t="s">
        <v>38</v>
      </c>
      <c r="X2" s="3" t="s">
        <v>230</v>
      </c>
      <c r="Y2" s="3" t="s">
        <v>278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286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240</v>
      </c>
      <c r="S3" s="1" t="s">
        <v>203</v>
      </c>
      <c r="T3" s="1" t="s">
        <v>204</v>
      </c>
      <c r="U3" s="1" t="s">
        <v>166</v>
      </c>
      <c r="V3" s="1" t="s">
        <v>259</v>
      </c>
      <c r="W3" s="1" t="s">
        <v>201</v>
      </c>
      <c r="X3" s="51" t="s">
        <v>291</v>
      </c>
      <c r="Y3" s="1" t="s">
        <v>279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287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241</v>
      </c>
      <c r="S4" s="1" t="str">
        <f>" "</f>
        <v xml:space="preserve"> </v>
      </c>
      <c r="T4" s="1" t="s">
        <v>237</v>
      </c>
      <c r="U4" s="1" t="s">
        <v>165</v>
      </c>
      <c r="V4" s="1" t="s">
        <v>260</v>
      </c>
      <c r="W4" s="1" t="s">
        <v>202</v>
      </c>
      <c r="X4" s="51" t="s">
        <v>231</v>
      </c>
      <c r="Y4" s="1" t="s">
        <v>280</v>
      </c>
    </row>
    <row r="5" spans="1:26" x14ac:dyDescent="0.2">
      <c r="B5" s="1" t="s">
        <v>54</v>
      </c>
      <c r="C5" s="1" t="s">
        <v>152</v>
      </c>
      <c r="D5" s="1" t="s">
        <v>156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293</v>
      </c>
      <c r="Y5" s="1" t="s">
        <v>281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188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  <c r="X7" s="1" t="s">
        <v>282</v>
      </c>
    </row>
    <row r="8" spans="1:26" x14ac:dyDescent="0.2">
      <c r="B8" s="1" t="s">
        <v>57</v>
      </c>
      <c r="D8" s="1" t="s">
        <v>159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160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161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162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243</v>
      </c>
    </row>
    <row r="104" spans="2:2" x14ac:dyDescent="0.2">
      <c r="B104" s="1" t="s">
        <v>244</v>
      </c>
    </row>
    <row r="105" spans="2:2" x14ac:dyDescent="0.2">
      <c r="B105" s="1" t="s">
        <v>245</v>
      </c>
    </row>
    <row r="106" spans="2:2" x14ac:dyDescent="0.2">
      <c r="B106" s="1" t="s">
        <v>246</v>
      </c>
    </row>
    <row r="107" spans="2:2" x14ac:dyDescent="0.2">
      <c r="B107" s="1" t="s">
        <v>247</v>
      </c>
    </row>
    <row r="108" spans="2:2" x14ac:dyDescent="0.2">
      <c r="B108" s="1" t="s">
        <v>248</v>
      </c>
    </row>
    <row r="109" spans="2:2" x14ac:dyDescent="0.2">
      <c r="B109" s="1" t="s">
        <v>250</v>
      </c>
    </row>
    <row r="110" spans="2:2" x14ac:dyDescent="0.2">
      <c r="B110" s="1" t="s">
        <v>249</v>
      </c>
    </row>
    <row r="111" spans="2:2" x14ac:dyDescent="0.2">
      <c r="B111" s="1" t="s">
        <v>251</v>
      </c>
    </row>
    <row r="112" spans="2:2" x14ac:dyDescent="0.2">
      <c r="B112" s="1" t="s">
        <v>266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A5" zoomScale="120" zoomScaleNormal="120" workbookViewId="0">
      <selection activeCell="AW12" sqref="AW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7" bestFit="1" customWidth="1"/>
    <col min="53" max="53" width="21.5" bestFit="1" customWidth="1"/>
    <col min="54" max="54" width="18.83203125" bestFit="1" customWidth="1"/>
    <col min="56" max="56" width="22.1640625" bestFit="1" customWidth="1"/>
    <col min="57" max="57" width="22.83203125" bestFit="1" customWidth="1"/>
    <col min="58" max="58" width="11.33203125" bestFit="1" customWidth="1"/>
    <col min="59" max="59" width="21.5" bestFit="1" customWidth="1"/>
    <col min="60" max="60" width="18.33203125" bestFit="1" customWidth="1"/>
    <col min="61" max="61" width="19.1640625" bestFit="1" customWidth="1"/>
    <col min="62" max="62" width="17.83203125" bestFit="1" customWidth="1"/>
    <col min="63" max="64" width="24.1640625" bestFit="1" customWidth="1"/>
    <col min="65" max="65" width="19.33203125" bestFit="1" customWidth="1"/>
    <col min="66" max="66" width="16.6640625" bestFit="1" customWidth="1"/>
    <col min="67" max="67" width="7.6640625" bestFit="1" customWidth="1"/>
    <col min="68" max="68" width="17.6640625" bestFit="1" customWidth="1"/>
    <col min="69" max="69" width="21" bestFit="1" customWidth="1"/>
    <col min="70" max="70" width="21.83203125" bestFit="1" customWidth="1"/>
    <col min="71" max="71" width="10.33203125" bestFit="1" customWidth="1"/>
    <col min="72" max="72" width="20.33203125" bestFit="1" customWidth="1"/>
    <col min="73" max="73" width="22.5" bestFit="1" customWidth="1"/>
    <col min="74" max="74" width="22" bestFit="1" customWidth="1"/>
    <col min="75" max="76" width="28.33203125" bestFit="1" customWidth="1"/>
    <col min="77" max="77" width="18.83203125" bestFit="1" customWidth="1"/>
    <col min="78" max="78" width="15.5" bestFit="1" customWidth="1"/>
    <col min="79" max="79" width="25.1640625" bestFit="1" customWidth="1"/>
  </cols>
  <sheetData>
    <row r="1" spans="1:79" x14ac:dyDescent="0.2">
      <c r="A1" s="40"/>
      <c r="B1" t="s">
        <v>283</v>
      </c>
    </row>
    <row r="2" spans="1:79" x14ac:dyDescent="0.2">
      <c r="A2" s="42"/>
      <c r="B2" t="s">
        <v>284</v>
      </c>
    </row>
    <row r="3" spans="1:79" x14ac:dyDescent="0.2">
      <c r="A3" s="45" t="str">
        <f ca="1">IF($D3="", "", INDIRECT("$D6"))</f>
        <v/>
      </c>
      <c r="B3" t="s">
        <v>285</v>
      </c>
    </row>
    <row r="4" spans="1:79" x14ac:dyDescent="0.2">
      <c r="A4" s="57" t="s">
        <v>39</v>
      </c>
      <c r="B4" s="57"/>
      <c r="C4" s="57"/>
      <c r="D4" s="57"/>
      <c r="E4" s="57"/>
      <c r="F4" s="57" t="s">
        <v>40</v>
      </c>
      <c r="G4" s="57"/>
      <c r="H4" s="57"/>
      <c r="I4" s="57"/>
      <c r="J4" s="57"/>
      <c r="K4" s="57"/>
      <c r="L4" s="36" t="s">
        <v>41</v>
      </c>
      <c r="M4" s="57" t="s">
        <v>42</v>
      </c>
      <c r="N4" s="57"/>
      <c r="O4" s="36"/>
      <c r="P4" s="57" t="s">
        <v>43</v>
      </c>
      <c r="Q4" s="57"/>
      <c r="R4" s="57"/>
      <c r="S4" s="57"/>
      <c r="T4" s="57"/>
      <c r="U4" s="57" t="s">
        <v>44</v>
      </c>
      <c r="V4" s="57"/>
      <c r="W4" s="57"/>
      <c r="X4" s="57"/>
      <c r="Y4" s="57"/>
      <c r="Z4" s="36" t="s">
        <v>45</v>
      </c>
      <c r="AA4" s="57" t="s">
        <v>46</v>
      </c>
      <c r="AB4" s="57"/>
      <c r="AC4" s="57"/>
      <c r="AD4" s="57" t="s">
        <v>261</v>
      </c>
      <c r="AE4" s="57"/>
      <c r="AF4" s="57" t="s">
        <v>262</v>
      </c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 t="s">
        <v>47</v>
      </c>
      <c r="AR4" s="57"/>
      <c r="AS4" s="57"/>
      <c r="AT4" s="57"/>
      <c r="AU4" s="57"/>
      <c r="AV4" s="57" t="s">
        <v>48</v>
      </c>
      <c r="AW4" s="57"/>
      <c r="AX4" s="36"/>
      <c r="AY4" s="36" t="s">
        <v>263</v>
      </c>
      <c r="AZ4" s="57" t="s">
        <v>49</v>
      </c>
      <c r="BA4" s="57"/>
      <c r="BB4" s="57" t="s">
        <v>50</v>
      </c>
      <c r="BC4" s="57"/>
      <c r="BD4" s="57" t="s">
        <v>212</v>
      </c>
      <c r="BE4" s="57"/>
      <c r="BF4" s="57"/>
      <c r="BG4" s="57"/>
      <c r="BH4" s="57"/>
      <c r="BI4" s="57"/>
      <c r="BJ4" s="57"/>
      <c r="BK4" s="57"/>
      <c r="BL4" s="57"/>
      <c r="BM4" s="57" t="s">
        <v>51</v>
      </c>
      <c r="BN4" s="57"/>
      <c r="BO4" s="57"/>
      <c r="BP4" s="36" t="s">
        <v>264</v>
      </c>
      <c r="BQ4" s="57" t="s">
        <v>267</v>
      </c>
      <c r="BR4" s="57"/>
      <c r="BS4" s="57" t="s">
        <v>272</v>
      </c>
      <c r="BT4" s="57"/>
      <c r="BU4" s="57"/>
      <c r="BV4" s="57"/>
      <c r="BW4" s="57"/>
      <c r="BX4" s="57"/>
      <c r="BY4" s="57" t="s">
        <v>276</v>
      </c>
      <c r="BZ4" s="57"/>
      <c r="CA4" s="57"/>
    </row>
    <row r="5" spans="1:79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265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242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290</v>
      </c>
      <c r="AR5" s="37" t="s">
        <v>289</v>
      </c>
      <c r="AS5" s="37" t="s">
        <v>288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258</v>
      </c>
      <c r="AY5" s="37" t="s">
        <v>257</v>
      </c>
      <c r="AZ5" s="37" t="s">
        <v>33</v>
      </c>
      <c r="BA5" s="37" t="s">
        <v>34</v>
      </c>
      <c r="BB5" s="37" t="s">
        <v>35</v>
      </c>
      <c r="BC5" s="37" t="s">
        <v>36</v>
      </c>
      <c r="BD5" s="37" t="s">
        <v>213</v>
      </c>
      <c r="BE5" s="37" t="s">
        <v>220</v>
      </c>
      <c r="BF5" s="37" t="s">
        <v>219</v>
      </c>
      <c r="BG5" s="37" t="s">
        <v>218</v>
      </c>
      <c r="BH5" s="37" t="s">
        <v>217</v>
      </c>
      <c r="BI5" s="37" t="s">
        <v>277</v>
      </c>
      <c r="BJ5" s="37" t="s">
        <v>216</v>
      </c>
      <c r="BK5" s="37" t="s">
        <v>215</v>
      </c>
      <c r="BL5" s="37" t="s">
        <v>214</v>
      </c>
      <c r="BM5" s="37" t="s">
        <v>229</v>
      </c>
      <c r="BN5" s="37" t="s">
        <v>37</v>
      </c>
      <c r="BO5" s="37" t="s">
        <v>38</v>
      </c>
      <c r="BP5" s="37" t="s">
        <v>256</v>
      </c>
      <c r="BQ5" s="37" t="s">
        <v>252</v>
      </c>
      <c r="BR5" s="37" t="s">
        <v>253</v>
      </c>
      <c r="BS5" s="37" t="s">
        <v>254</v>
      </c>
      <c r="BT5" s="37" t="s">
        <v>255</v>
      </c>
      <c r="BU5" s="37" t="s">
        <v>268</v>
      </c>
      <c r="BV5" s="37" t="s">
        <v>269</v>
      </c>
      <c r="BW5" s="37" t="s">
        <v>270</v>
      </c>
      <c r="BX5" s="37" t="s">
        <v>271</v>
      </c>
      <c r="BY5" s="37" t="s">
        <v>273</v>
      </c>
      <c r="BZ5" s="37" t="s">
        <v>274</v>
      </c>
      <c r="CA5" s="37" t="s">
        <v>275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6"/>
      <c r="BE6" s="10" t="str">
        <f t="shared" ref="BE6:BE23" si="3">IF($BD6="", "", "IGO")</f>
        <v/>
      </c>
      <c r="BF6" s="10"/>
      <c r="BG6" s="10"/>
      <c r="BH6" s="10"/>
      <c r="BI6" s="10"/>
      <c r="BJ6" s="10"/>
      <c r="BK6" s="10"/>
      <c r="BL6" s="10"/>
      <c r="BM6" s="16"/>
      <c r="BN6" s="10"/>
      <c r="BO6" s="10"/>
      <c r="BP6" s="35"/>
      <c r="BQ6" s="12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10"/>
      <c r="BA7" s="10"/>
      <c r="BB7" s="10"/>
      <c r="BC7" s="10"/>
      <c r="BD7" s="16"/>
      <c r="BE7" s="10" t="str">
        <f t="shared" si="3"/>
        <v/>
      </c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5"/>
      <c r="BQ7" s="12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6"/>
      <c r="BE8" s="10" t="str">
        <f t="shared" si="3"/>
        <v/>
      </c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5"/>
      <c r="BQ8" s="12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6"/>
      <c r="BE9" s="10" t="str">
        <f t="shared" si="3"/>
        <v/>
      </c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5"/>
      <c r="BQ9" s="12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6"/>
      <c r="BE10" s="10" t="str">
        <f t="shared" si="3"/>
        <v/>
      </c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5"/>
      <c r="BQ10" s="12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6"/>
      <c r="BE11" s="10" t="str">
        <f t="shared" si="3"/>
        <v/>
      </c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5"/>
      <c r="BQ11" s="12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6"/>
      <c r="BE12" s="10" t="str">
        <f t="shared" si="3"/>
        <v/>
      </c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5"/>
      <c r="BQ12" s="12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6"/>
      <c r="BE13" s="10" t="str">
        <f t="shared" si="3"/>
        <v/>
      </c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5"/>
      <c r="BQ13" s="12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6"/>
      <c r="BE14" s="10" t="str">
        <f t="shared" si="3"/>
        <v/>
      </c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5"/>
      <c r="BQ14" s="12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6"/>
      <c r="BE15" s="10" t="str">
        <f t="shared" si="3"/>
        <v/>
      </c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5"/>
      <c r="BQ15" s="12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282</v>
      </c>
      <c r="AV16" s="40"/>
      <c r="AW16" s="39"/>
      <c r="AX16" s="39"/>
      <c r="AY16" s="10"/>
      <c r="AZ16" s="10"/>
      <c r="BA16" s="10"/>
      <c r="BB16" s="10"/>
      <c r="BC16" s="10"/>
      <c r="BD16" s="16"/>
      <c r="BE16" s="10" t="str">
        <f t="shared" si="3"/>
        <v/>
      </c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5"/>
      <c r="BQ16" s="16"/>
      <c r="BR16" s="10"/>
      <c r="BS16" s="10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259</v>
      </c>
      <c r="AY17" s="39"/>
      <c r="AZ17" s="8"/>
      <c r="BA17" s="8"/>
      <c r="BB17" s="39"/>
      <c r="BC17" s="39"/>
      <c r="BD17" s="40"/>
      <c r="BE17" s="39" t="str">
        <f t="shared" si="3"/>
        <v/>
      </c>
      <c r="BF17" s="39"/>
      <c r="BG17" s="39"/>
      <c r="BH17" s="39"/>
      <c r="BI17" s="39"/>
      <c r="BJ17" s="39"/>
      <c r="BK17" s="39"/>
      <c r="BL17" s="39"/>
      <c r="BM17" s="16"/>
      <c r="BN17" s="10"/>
      <c r="BO17" s="10"/>
      <c r="BP17" s="35"/>
      <c r="BQ17" s="16"/>
      <c r="BR17" s="10"/>
      <c r="BS17" s="10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260</v>
      </c>
      <c r="AY18" s="8"/>
      <c r="AZ18" s="39"/>
      <c r="BA18" s="39"/>
      <c r="BB18" s="39"/>
      <c r="BC18" s="39"/>
      <c r="BD18" s="40"/>
      <c r="BE18" s="39" t="str">
        <f t="shared" si="3"/>
        <v/>
      </c>
      <c r="BF18" s="39"/>
      <c r="BG18" s="39"/>
      <c r="BH18" s="39"/>
      <c r="BI18" s="39"/>
      <c r="BJ18" s="39"/>
      <c r="BK18" s="39"/>
      <c r="BL18" s="39"/>
      <c r="BM18" s="16"/>
      <c r="BN18" s="10"/>
      <c r="BO18" s="10"/>
      <c r="BP18" s="35"/>
      <c r="BQ18" s="16"/>
      <c r="BR18" s="10"/>
      <c r="BS18" s="10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17"/>
      <c r="BE19" s="8" t="str">
        <f t="shared" si="3"/>
        <v/>
      </c>
      <c r="BF19" s="8"/>
      <c r="BG19" s="8"/>
      <c r="BH19" s="8"/>
      <c r="BI19" s="8"/>
      <c r="BJ19" s="8"/>
      <c r="BK19" s="8"/>
      <c r="BL19" s="8"/>
      <c r="BM19" s="40"/>
      <c r="BN19" s="39"/>
      <c r="BO19" s="39"/>
      <c r="BP19" s="35"/>
      <c r="BQ19" s="16"/>
      <c r="BR19" s="10"/>
      <c r="BS19" s="10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17"/>
      <c r="BE20" s="8" t="str">
        <f t="shared" si="3"/>
        <v/>
      </c>
      <c r="BF20" s="8"/>
      <c r="BG20" s="8"/>
      <c r="BH20" s="8"/>
      <c r="BI20" s="8"/>
      <c r="BJ20" s="8"/>
      <c r="BK20" s="8"/>
      <c r="BL20" s="8"/>
      <c r="BM20" s="17"/>
      <c r="BN20" s="8"/>
      <c r="BO20" s="8"/>
      <c r="BP20" s="39"/>
      <c r="BQ20" s="16"/>
      <c r="BR20" s="10"/>
      <c r="BS20" s="10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17"/>
      <c r="BE21" s="8" t="str">
        <f t="shared" si="3"/>
        <v/>
      </c>
      <c r="BF21" s="8"/>
      <c r="BG21" s="8"/>
      <c r="BH21" s="8"/>
      <c r="BI21" s="8"/>
      <c r="BJ21" s="8"/>
      <c r="BK21" s="8"/>
      <c r="BL21" s="8"/>
      <c r="BM21" s="17"/>
      <c r="BN21" s="8"/>
      <c r="BO21" s="8"/>
      <c r="BP21" s="8"/>
      <c r="BQ21" s="40"/>
      <c r="BR21" s="39"/>
      <c r="BS21" s="10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8"/>
      <c r="BE22" s="46" t="str">
        <f t="shared" si="3"/>
        <v/>
      </c>
      <c r="BF22" s="46"/>
      <c r="BG22" s="46"/>
      <c r="BH22" s="46"/>
      <c r="BI22" s="46"/>
      <c r="BJ22" s="46"/>
      <c r="BK22" s="46"/>
      <c r="BL22" s="46"/>
      <c r="BM22" s="48"/>
      <c r="BN22" s="46"/>
      <c r="BO22" s="46"/>
      <c r="BP22" s="46"/>
      <c r="BQ22" s="48"/>
      <c r="BR22" s="8" t="s">
        <v>206</v>
      </c>
      <c r="BS22" s="39"/>
      <c r="BT22" s="39"/>
      <c r="BU22" s="39"/>
      <c r="BV22" s="39"/>
      <c r="BW22" s="39"/>
      <c r="BX22" s="39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8"/>
      <c r="BE23" s="46" t="str">
        <f t="shared" si="3"/>
        <v/>
      </c>
      <c r="BF23" s="46"/>
      <c r="BG23" s="46"/>
      <c r="BH23" s="46"/>
      <c r="BI23" s="46"/>
      <c r="BJ23" s="46"/>
      <c r="BK23" s="46"/>
      <c r="BL23" s="46"/>
      <c r="BM23" s="48"/>
      <c r="BN23" s="46"/>
      <c r="BO23" s="46"/>
      <c r="BP23" s="46"/>
      <c r="BQ23" s="48"/>
      <c r="BR23" s="8" t="s">
        <v>207</v>
      </c>
      <c r="BS23" s="8"/>
      <c r="BT23" s="8"/>
      <c r="BU23" s="8"/>
      <c r="BV23" s="8"/>
      <c r="BW23" s="8"/>
      <c r="BX23" s="8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6"/>
      <c r="BE24" s="10" t="str">
        <f t="shared" ref="BE24:BE62" si="9">IF($BD24="", "", "IGO")</f>
        <v/>
      </c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5"/>
      <c r="BQ24" s="16"/>
      <c r="BR24" s="10"/>
      <c r="BS24" s="10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6"/>
      <c r="BE25" s="10" t="str">
        <f t="shared" si="9"/>
        <v/>
      </c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5"/>
      <c r="BQ25" s="16"/>
      <c r="BR25" s="10"/>
      <c r="BS25" s="10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6"/>
      <c r="BE26" s="10" t="str">
        <f t="shared" si="9"/>
        <v/>
      </c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5"/>
      <c r="BQ26" s="16"/>
      <c r="BR26" s="10"/>
      <c r="BS26" s="10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6"/>
      <c r="BE27" s="10" t="str">
        <f t="shared" si="9"/>
        <v/>
      </c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5"/>
      <c r="BQ27" s="16"/>
      <c r="BR27" s="10"/>
      <c r="BS27" s="10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6"/>
      <c r="BE28" s="10" t="str">
        <f t="shared" si="9"/>
        <v/>
      </c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5"/>
      <c r="BQ28" s="16"/>
      <c r="BR28" s="10"/>
      <c r="BS28" s="10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6"/>
      <c r="BE29" s="10" t="str">
        <f t="shared" si="9"/>
        <v/>
      </c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5"/>
      <c r="BQ29" s="16"/>
      <c r="BR29" s="10"/>
      <c r="BS29" s="10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6"/>
      <c r="BE30" s="10" t="str">
        <f t="shared" si="9"/>
        <v/>
      </c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5"/>
      <c r="BQ30" s="16"/>
      <c r="BR30" s="10"/>
      <c r="BS30" s="10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6"/>
      <c r="BE31" s="10" t="str">
        <f t="shared" si="9"/>
        <v/>
      </c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10"/>
      <c r="BQ31" s="16"/>
      <c r="BR31" s="10"/>
      <c r="BS31" s="10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6"/>
      <c r="BE32" s="10" t="str">
        <f t="shared" si="9"/>
        <v/>
      </c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10"/>
      <c r="BQ32" s="16"/>
      <c r="BR32" s="10"/>
      <c r="BS32" s="10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6"/>
      <c r="BE33" s="10" t="str">
        <f t="shared" si="9"/>
        <v/>
      </c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10"/>
      <c r="BQ33" s="16"/>
      <c r="BR33" s="10"/>
      <c r="BS33" s="10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6"/>
      <c r="BE34" s="10" t="str">
        <f t="shared" si="9"/>
        <v/>
      </c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10"/>
      <c r="BQ34" s="16"/>
      <c r="BR34" s="10"/>
      <c r="BS34" s="10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6"/>
      <c r="BE35" s="10" t="str">
        <f t="shared" si="9"/>
        <v/>
      </c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10"/>
      <c r="BQ35" s="16"/>
      <c r="BR35" s="10"/>
      <c r="BS35" s="10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6"/>
      <c r="BE36" s="10" t="str">
        <f t="shared" si="9"/>
        <v/>
      </c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10"/>
      <c r="BQ36" s="16"/>
      <c r="BR36" s="10"/>
      <c r="BS36" s="10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6"/>
      <c r="BE37" s="10" t="str">
        <f t="shared" si="9"/>
        <v/>
      </c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10"/>
      <c r="BQ37" s="16"/>
      <c r="BR37" s="10"/>
      <c r="BS37" s="10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6"/>
      <c r="BE38" s="10" t="str">
        <f t="shared" si="9"/>
        <v/>
      </c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10"/>
      <c r="BQ38" s="16"/>
      <c r="BR38" s="10"/>
      <c r="BS38" s="10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6"/>
      <c r="BE39" s="10" t="str">
        <f t="shared" si="9"/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6"/>
      <c r="BE40" s="10" t="str">
        <f t="shared" si="9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6"/>
      <c r="BE41" s="10" t="str">
        <f t="shared" si="9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6"/>
      <c r="BE42" s="10" t="str">
        <f t="shared" si="9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6"/>
      <c r="BE43" s="10" t="str">
        <f t="shared" si="9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6"/>
      <c r="BE44" s="10" t="str">
        <f t="shared" si="9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6"/>
      <c r="BE45" s="10" t="str">
        <f t="shared" si="9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 t="str">
        <f t="shared" si="9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 t="str">
        <f t="shared" si="9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6"/>
      <c r="BE48" s="10" t="str">
        <f t="shared" si="9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6"/>
      <c r="BE49" s="10" t="str">
        <f t="shared" si="9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6"/>
      <c r="BE50" s="10" t="str">
        <f t="shared" si="9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6"/>
      <c r="BE51" s="10" t="str">
        <f t="shared" si="9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6"/>
      <c r="BE52" s="10" t="str">
        <f t="shared" si="9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6"/>
      <c r="BE53" s="10" t="str">
        <f t="shared" si="9"/>
        <v/>
      </c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6"/>
      <c r="BE54" s="10" t="str">
        <f t="shared" si="9"/>
        <v/>
      </c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6"/>
      <c r="BE55" s="10" t="str">
        <f t="shared" si="9"/>
        <v/>
      </c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6"/>
      <c r="BE56" s="10" t="str">
        <f t="shared" si="9"/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6"/>
      <c r="BE57" s="10" t="str">
        <f t="shared" si="9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6"/>
      <c r="BE58" s="10" t="str">
        <f t="shared" si="9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6"/>
      <c r="BE59" s="10" t="str">
        <f t="shared" si="9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6"/>
      <c r="BE60" s="10" t="str">
        <f t="shared" si="9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6"/>
      <c r="BE61" s="10" t="str">
        <f t="shared" si="9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6"/>
      <c r="BE62" s="10" t="str">
        <f t="shared" si="9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6"/>
      <c r="BE63" s="10" t="str">
        <f t="shared" ref="BE63:BE92" si="15">IF($BD63="", "", "IGO")</f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6"/>
      <c r="BE64" s="10" t="str">
        <f t="shared" si="15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6"/>
      <c r="BE65" s="10" t="str">
        <f t="shared" si="15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6"/>
      <c r="BE66" s="10" t="str">
        <f t="shared" si="15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6"/>
      <c r="BE67" s="10" t="str">
        <f t="shared" si="15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6"/>
      <c r="BE68" s="10" t="str">
        <f t="shared" si="15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6"/>
      <c r="BE69" s="10" t="str">
        <f t="shared" si="15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6"/>
      <c r="BE70" s="10" t="str">
        <f t="shared" si="15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 t="str">
        <f t="shared" si="15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 t="str">
        <f t="shared" si="15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6"/>
      <c r="BE73" s="10" t="str">
        <f t="shared" si="15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6"/>
      <c r="BE74" s="10" t="str">
        <f t="shared" si="15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6"/>
      <c r="BE75" s="10" t="str">
        <f t="shared" si="15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6"/>
      <c r="BE76" s="10" t="str">
        <f t="shared" si="15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6"/>
      <c r="BE77" s="10" t="str">
        <f t="shared" si="15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6"/>
      <c r="BE78" s="10" t="str">
        <f t="shared" si="15"/>
        <v/>
      </c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6"/>
      <c r="BE79" s="10" t="str">
        <f t="shared" si="15"/>
        <v/>
      </c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6"/>
      <c r="BE80" s="10" t="str">
        <f t="shared" si="15"/>
        <v/>
      </c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6"/>
      <c r="BE81" s="10" t="str">
        <f t="shared" si="15"/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6"/>
      <c r="BE82" s="10" t="str">
        <f t="shared" si="15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6"/>
      <c r="BE83" s="10" t="str">
        <f t="shared" si="15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6"/>
      <c r="BE84" s="10" t="str">
        <f t="shared" si="15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6"/>
      <c r="BE85" s="10" t="str">
        <f t="shared" si="15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6"/>
      <c r="BE86" s="10" t="str">
        <f t="shared" si="15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6"/>
      <c r="BE87" s="10" t="str">
        <f t="shared" si="15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6"/>
      <c r="BE88" s="10" t="str">
        <f t="shared" si="15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6"/>
      <c r="BE89" s="10" t="str">
        <f t="shared" si="15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6"/>
      <c r="BE90" s="10" t="str">
        <f t="shared" si="15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6"/>
      <c r="BE91" s="10" t="str">
        <f t="shared" si="15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6"/>
      <c r="BE92" s="10" t="str">
        <f t="shared" si="15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D4:BL4"/>
    <mergeCell ref="BM4:BO4"/>
    <mergeCell ref="BQ4:BR4"/>
    <mergeCell ref="BS4:BX4"/>
    <mergeCell ref="BY4:CA4"/>
    <mergeCell ref="BB4:BC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AZ4:B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O24:BO32 BO48:BO57 BO73:BO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BO6:BO15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BI6:BI92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BV6:BV92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BR6:BR92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BP6:BP92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2020-06-29T20:55:32Z</dcterms:modified>
</cp:coreProperties>
</file>