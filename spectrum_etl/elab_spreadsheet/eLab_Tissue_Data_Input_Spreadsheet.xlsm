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workbookProtection lockStructure="1"/>
  <bookViews>
    <workbookView xWindow="0" yWindow="480" windowWidth="32060" windowHeight="18600"/>
  </bookViews>
  <sheets>
    <sheet name="Main Database" sheetId="1" r:id="rId1"/>
    <sheet name="Validation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104" i="1" l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K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7" i="1"/>
  <c r="J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R4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<sst xmlns="http://schemas.openxmlformats.org/spreadsheetml/2006/main" count="290" uniqueCount="235">
  <si>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</si>
  <si>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</si>
  <si>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</si>
  <si>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</si>
  <si>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</si>
  <si>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</si>
  <si>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</si>
  <si>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</si>
  <si>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</si>
  <si>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</si>
  <si>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</si>
  <si>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</si>
  <si>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</si>
  <si>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</si>
  <si>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</si>
  <si>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</si>
  <si>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</si>
  <si>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</si>
  <si>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</si>
  <si>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</si>
  <si>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</si>
  <si>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</si>
  <si>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</si>
  <si>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</si>
  <si>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</si>
  <si>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</si>
  <si>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</si>
  <si>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Date of Submission</t>
  </si>
  <si>
    <t># of Cells Captured</t>
  </si>
  <si>
    <t>IGO ID</t>
  </si>
  <si>
    <t>REX Sample ID</t>
  </si>
  <si>
    <t>IGO Submission ID</t>
  </si>
  <si>
    <t>Sample Status</t>
  </si>
  <si>
    <t>iLab Submission Form</t>
  </si>
  <si>
    <t>REX Submission Form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</si>
  <si>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</si>
  <si>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</si>
  <si>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</si>
  <si>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</si>
  <si>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</si>
  <si>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</si>
  <si>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</si>
  <si>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</si>
  <si>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</si>
  <si>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</si>
  <si>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</si>
  <si>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</si>
  <si>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</si>
  <si>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</si>
  <si>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</si>
  <si>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</si>
  <si>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</si>
  <si>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</si>
  <si>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</si>
  <si>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</si>
  <si>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</si>
  <si>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</si>
  <si>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</si>
  <si>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</si>
  <si>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</si>
  <si>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</si>
  <si>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</si>
  <si>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</si>
  <si>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</si>
  <si>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</si>
  <si>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</si>
  <si>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</si>
  <si>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</si>
  <si>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</si>
  <si>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</si>
  <si>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</si>
  <si>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</si>
  <si>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</si>
  <si>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</si>
  <si>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</si>
  <si>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</si>
  <si>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</si>
  <si>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</si>
  <si>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</si>
  <si>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</si>
  <si>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</si>
  <si>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</si>
  <si>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</si>
  <si>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</si>
  <si>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</si>
  <si>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</si>
  <si>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</si>
  <si>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</si>
  <si>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</si>
  <si>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</si>
  <si>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</si>
  <si>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</si>
  <si>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</si>
  <si>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</si>
  <si>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</si>
  <si>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</si>
  <si>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</si>
  <si>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</si>
  <si>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</si>
  <si>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</si>
  <si>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</si>
  <si>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</si>
  <si>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</si>
  <si>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</si>
  <si>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</si>
  <si>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</si>
  <si>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</si>
  <si>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</si>
  <si>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</si>
  <si>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</si>
  <si>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</si>
  <si>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</si>
  <si>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</si>
  <si>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</si>
  <si>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</si>
  <si>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</si>
  <si>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</si>
  <si>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</si>
  <si>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</si>
  <si>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</si>
  <si>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</si>
  <si>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</si>
  <si>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</si>
  <si>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</si>
  <si>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</si>
  <si>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</si>
  <si>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</si>
  <si>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</si>
  <si>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</si>
  <si>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</si>
  <si>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</si>
  <si>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</si>
  <si>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</si>
  <si>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</si>
  <si>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</si>
  <si>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</si>
  <si>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</si>
  <si>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</si>
  <si>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</si>
  <si>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</si>
  <si>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</si>
  <si>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</si>
  <si>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</si>
  <si>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</si>
  <si>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</si>
  <si>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</si>
  <si>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</si>
  <si>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</si>
  <si>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</si>
  <si>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</si>
  <si>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</si>
  <si>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</si>
  <si>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</si>
  <si>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</si>
  <si>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</si>
  <si>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</si>
  <si>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</si>
  <si>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</si>
  <si>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</si>
  <si>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</si>
  <si>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</si>
  <si>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</si>
  <si>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</si>
  <si>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</si>
  <si>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</si>
  <si>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</si>
  <si>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</si>
  <si>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</si>
  <si>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</si>
  <si>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</si>
  <si>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</si>
  <si>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</si>
  <si>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</si>
  <si>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</si>
  <si>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</si>
  <si>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</si>
  <si>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</si>
  <si>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</si>
  <si>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</si>
  <si>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</si>
  <si>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</si>
  <si>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</si>
  <si>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</si>
  <si>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</si>
  <si>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</si>
  <si>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</si>
  <si>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</si>
  <si>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</si>
  <si>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</si>
  <si>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</si>
  <si>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</si>
  <si>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</si>
  <si>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</si>
  <si>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</si>
  <si>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</si>
  <si>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</si>
  <si>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</si>
  <si>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</si>
  <si>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</si>
  <si>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</si>
  <si>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</si>
  <si>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</si>
  <si>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</si>
  <si>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</si>
  <si>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</si>
  <si>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</si>
  <si>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</si>
  <si>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</si>
  <si>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</si>
  <si>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</si>
  <si>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</si>
  <si>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</si>
  <si>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</si>
  <si>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</si>
  <si>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</si>
  <si>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</si>
  <si>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</si>
  <si>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</si>
  <si>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</si>
  <si>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</si>
  <si>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</si>
  <si>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</si>
  <si>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</si>
  <si>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</si>
  <si>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IF</t>
  </si>
  <si>
    <t>WGS Bulk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</si>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</sst>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System Font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1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3:BN104"/>
  <sheetViews>
    <sheetView tabSelected="1" topLeftCell="L1" zoomScale="110" zoomScaleNormal="110" workbookViewId="0">
      <pane ySplit="4" topLeftCell="A6" activePane="bottomLeft" state="frozen"/>
      <selection activeCell="P1" sqref="P1"/>
      <selection pane="bottomLeft" activeCell="AR15" sqref="AR15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customWidth="1"/>
    <col min="13" max="13" width="18.1640625" style="2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hidden="1" customWidth="1"/>
    <col min="20" max="20" width="21.83203125" style="2" hidden="1" customWidth="1"/>
    <col min="21" max="21" width="16.33203125" style="2" hidden="1" customWidth="1"/>
    <col min="22" max="22" width="11.1640625" style="2" hidden="1" customWidth="1"/>
    <col min="23" max="23" width="21.83203125" style="2" hidden="1" customWidth="1"/>
    <col min="24" max="24" width="13.83203125" style="2" hidden="1" customWidth="1"/>
    <col min="25" max="25" width="14.6640625" style="2" hidden="1" customWidth="1"/>
    <col min="26" max="26" width="18.5" style="2" hidden="1" customWidth="1"/>
    <col min="27" max="27" width="16.5" style="2" hidden="1" customWidth="1"/>
    <col min="28" max="28" width="19.83203125" style="2" hidden="1" customWidth="1"/>
    <col min="29" max="29" width="19.5" style="2" hidden="1" customWidth="1"/>
    <col min="30" max="30" width="17.1640625" style="2" hidden="1" customWidth="1"/>
    <col min="31" max="31" width="18.83203125" style="2" hidden="1" customWidth="1"/>
    <col min="32" max="32" width="16.6640625" style="2" hidden="1" customWidth="1"/>
    <col min="33" max="33" width="6.5" style="2" hidden="1" customWidth="1"/>
    <col min="34" max="34" width="16.5" style="2" hidden="1" customWidth="1"/>
    <col min="35" max="35" width="13.1640625" style="2" hidden="1" customWidth="1"/>
    <col min="36" max="36" width="13" style="2" hidden="1" customWidth="1"/>
    <col min="37" max="37" width="19.33203125" style="2" hidden="1" customWidth="1"/>
    <col min="38" max="38" width="19.1640625" style="2" hidden="1" customWidth="1"/>
    <col min="39" max="39" width="9.5" style="2" hidden="1" customWidth="1"/>
    <col min="40" max="40" width="12" style="2" hidden="1" customWidth="1"/>
    <col min="41" max="41" width="13" style="2" hidden="1" customWidth="1"/>
    <col min="42" max="42" width="6" style="2" hidden="1" customWidth="1"/>
    <col min="43" max="43" width="17.1640625" style="2" customWidth="1"/>
    <col min="44" max="44" width="19" style="2" customWidth="1"/>
    <col min="45" max="45" width="15.33203125" style="2" customWidth="1"/>
    <col min="46" max="46" width="21.83203125" style="2" customWidth="1"/>
    <col min="47" max="47" width="23.1640625" style="2" hidden="1" customWidth="1"/>
    <col min="48" max="48" width="21.83203125" style="2" hidden="1" customWidth="1"/>
    <col min="49" max="49" width="13.6640625" style="2" hidden="1" customWidth="1"/>
    <col min="50" max="50" width="17.83203125" style="2" hidden="1" customWidth="1"/>
    <col min="51" max="51" width="14.5" style="2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17.1640625" style="2" hidden="1" customWidth="1"/>
    <col min="57" max="57" width="18.1640625" style="2" hidden="1" customWidth="1"/>
    <col min="58" max="58" width="10.83203125" style="2" hidden="1" customWidth="1"/>
    <col min="59" max="59" width="16.33203125" style="2" hidden="1" customWidth="1"/>
    <col min="60" max="60" width="13.1640625" style="2" hidden="1" customWidth="1"/>
    <col min="61" max="61" width="12.83203125" style="2" hidden="1" customWidth="1"/>
    <col min="62" max="62" width="19.1640625" style="2" hidden="1" customWidth="1"/>
    <col min="63" max="63" width="19" style="2" hidden="1" customWidth="1"/>
    <col min="64" max="64" width="17" style="2" hidden="1" customWidth="1"/>
    <col min="65" max="65" width="16.6640625" style="2" hidden="1" customWidth="1"/>
    <col min="66" max="66" width="7.6640625" style="2" hidden="1" customWidth="1"/>
    <col min="67" max="16384" width="10.83203125" style="2"/>
  </cols>
  <sheetData>
    <row r="3" spans="1:66" s="6" customFormat="1" x14ac:dyDescent="0.2">
      <c r="A3" s="10" t="s">
        <v>53</v>
      </c>
      <c r="B3" s="10"/>
      <c r="C3" s="10"/>
      <c r="D3" s="10"/>
      <c r="E3" s="10" t="s">
        <v>54</v>
      </c>
      <c r="F3" s="10"/>
      <c r="G3" s="10"/>
      <c r="H3" s="10"/>
      <c r="I3" s="10"/>
      <c r="J3" s="7" t="s">
        <v>55</v>
      </c>
      <c r="K3" s="10" t="s">
        <v>56</v>
      </c>
      <c r="L3" s="10"/>
      <c r="M3" s="8"/>
      <c r="N3" s="10" t="s">
        <v>57</v>
      </c>
      <c r="O3" s="10"/>
      <c r="P3" s="10"/>
      <c r="Q3" s="10"/>
      <c r="R3" s="10"/>
      <c r="S3" s="10" t="s">
        <v>58</v>
      </c>
      <c r="T3" s="10"/>
      <c r="U3" s="10"/>
      <c r="V3" s="10"/>
      <c r="W3" s="10"/>
      <c r="X3" s="6" t="s">
        <v>59</v>
      </c>
      <c r="Y3" s="10" t="s">
        <v>60</v>
      </c>
      <c r="Z3" s="10"/>
      <c r="AA3" s="10"/>
      <c r="AB3" s="10" t="s">
        <v>233</v>
      </c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 t="s">
        <v>61</v>
      </c>
      <c r="AR3" s="10"/>
      <c r="AS3" s="10"/>
      <c r="AT3" s="10"/>
      <c r="AU3" s="10" t="s">
        <v>62</v>
      </c>
      <c r="AV3" s="10"/>
      <c r="AW3" s="10"/>
      <c r="AX3" s="10"/>
      <c r="AY3" s="10"/>
      <c r="AZ3" s="10" t="s">
        <v>63</v>
      </c>
      <c r="BA3" s="10"/>
      <c r="BB3" s="10" t="s">
        <v>64</v>
      </c>
      <c r="BC3" s="10"/>
      <c r="BD3" s="10" t="s">
        <v>234</v>
      </c>
      <c r="BE3" s="11"/>
      <c r="BF3" s="11"/>
      <c r="BG3" s="11"/>
      <c r="BH3" s="11"/>
      <c r="BI3" s="11"/>
      <c r="BJ3" s="11"/>
      <c r="BK3" s="11"/>
      <c r="BL3" s="10" t="s">
        <v>65</v>
      </c>
      <c r="BM3" s="10"/>
      <c r="BN3" s="10"/>
    </row>
    <row r="4" spans="1:66" s="5" customFormat="1" x14ac:dyDescent="0.2">
      <c r="A4" s="5" t="s">
        <v>1</v>
      </c>
      <c r="B4" s="5" t="s">
        <v>231</v>
      </c>
      <c r="C4" s="5" t="s">
        <v>232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230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27</v>
      </c>
      <c r="AE4" s="5" t="s">
        <v>226</v>
      </c>
      <c r="AF4" s="5" t="s">
        <v>28</v>
      </c>
      <c r="AG4" s="5" t="s">
        <v>29</v>
      </c>
      <c r="AH4" s="5" t="s">
        <v>31</v>
      </c>
      <c r="AI4" s="5" t="s">
        <v>30</v>
      </c>
      <c r="AJ4" s="5" t="s">
        <v>32</v>
      </c>
      <c r="AK4" s="5" t="s">
        <v>33</v>
      </c>
      <c r="AL4" s="5" t="s">
        <v>34</v>
      </c>
      <c r="AM4" s="5" t="s">
        <v>35</v>
      </c>
      <c r="AN4" s="5" t="s">
        <v>36</v>
      </c>
      <c r="AO4" s="5" t="s">
        <v>37</v>
      </c>
      <c r="AP4" s="5" t="s">
        <v>38</v>
      </c>
      <c r="AQ4" s="5" t="s">
        <v>39</v>
      </c>
      <c r="AR4" s="5" t="s">
        <v>40</v>
      </c>
      <c r="AS4" s="5" t="s">
        <v>41</v>
      </c>
      <c r="AT4" s="5" t="s">
        <v>20</v>
      </c>
      <c r="AU4" s="5" t="s">
        <v>42</v>
      </c>
      <c r="AV4" s="5" t="s">
        <v>43</v>
      </c>
      <c r="AW4" s="5" t="s">
        <v>44</v>
      </c>
      <c r="AX4" s="5" t="s">
        <v>45</v>
      </c>
      <c r="AY4" s="5" t="s">
        <v>46</v>
      </c>
      <c r="AZ4" s="5" t="s">
        <v>47</v>
      </c>
      <c r="BA4" s="5" t="s">
        <v>48</v>
      </c>
      <c r="BB4" s="5" t="s">
        <v>49</v>
      </c>
      <c r="BC4" s="5" t="s">
        <v>50</v>
      </c>
      <c r="BD4" s="5" t="s">
        <v>27</v>
      </c>
      <c r="BE4" s="5" t="s">
        <v>226</v>
      </c>
      <c r="BF4" s="5" t="s">
        <v>29</v>
      </c>
      <c r="BG4" s="5" t="s">
        <v>31</v>
      </c>
      <c r="BH4" s="5" t="s">
        <v>30</v>
      </c>
      <c r="BI4" s="5" t="s">
        <v>32</v>
      </c>
      <c r="BJ4" s="5" t="s">
        <v>33</v>
      </c>
      <c r="BK4" s="5" t="s">
        <v>34</v>
      </c>
      <c r="BL4" s="5" t="s">
        <v>27</v>
      </c>
      <c r="BM4" s="5" t="s">
        <v>51</v>
      </c>
      <c r="BN4" s="5" t="s">
        <v>52</v>
      </c>
    </row>
    <row r="5" spans="1:66" hidden="1" x14ac:dyDescent="0.2">
      <c r="A5" s="4" t="str">
        <f>D5</f>
        <v>SPECTRUM-OV-001</v>
      </c>
      <c r="B5" s="4"/>
      <c r="C5" s="4"/>
      <c r="D5" s="2" t="s">
        <v>66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227</v>
      </c>
    </row>
    <row r="6" spans="1:66" x14ac:dyDescent="0.2">
      <c r="A6" s="4">
        <f t="shared" ref="A6:A69" si="0">D6</f>
        <v>0</v>
      </c>
      <c r="B6" s="4"/>
      <c r="C6" s="4"/>
      <c r="H6" s="2" t="str">
        <f t="shared" ref="H6:H69" si="1">IF($A$1="", "Main", "")</f>
        <v>Main</v>
      </c>
      <c r="J6" s="2" t="s">
        <v>180</v>
      </c>
      <c r="K6" s="2" t="s">
        <v>189</v>
      </c>
      <c r="L6" s="9"/>
      <c r="M6" s="9"/>
      <c r="R6" s="2" t="s">
        <v>199</v>
      </c>
      <c r="S6" s="9"/>
      <c r="T6" s="9"/>
      <c r="U6" s="9" t="str">
        <f t="shared" ref="U6:U69" si="2">IF($A$1="", "15")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69" si="3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66" x14ac:dyDescent="0.2">
      <c r="A7" s="4">
        <f t="shared" si="0"/>
        <v>0</v>
      </c>
      <c r="B7" s="4"/>
      <c r="C7" s="4"/>
      <c r="H7" s="2" t="str">
        <f t="shared" si="1"/>
        <v>Main</v>
      </c>
      <c r="K7" s="2" t="str">
        <f t="shared" ref="K7:K69" si="4">IF($A$1="", "HGSC")</f>
        <v>HGSC</v>
      </c>
      <c r="L7" s="9"/>
      <c r="M7" s="9"/>
      <c r="S7" s="9"/>
      <c r="T7" s="9"/>
      <c r="U7" s="9" t="str">
        <f t="shared" si="2"/>
        <v>15</v>
      </c>
      <c r="V7" s="9"/>
      <c r="W7" s="9"/>
      <c r="X7" s="9"/>
      <c r="Y7" s="9"/>
      <c r="Z7" s="9"/>
      <c r="AA7" s="9"/>
      <c r="AB7" s="9"/>
      <c r="AC7" s="9"/>
      <c r="AD7" s="9"/>
      <c r="AE7" s="9" t="str">
        <f t="shared" si="3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66" x14ac:dyDescent="0.2">
      <c r="A8" s="4">
        <f t="shared" si="0"/>
        <v>0</v>
      </c>
      <c r="B8" s="4"/>
      <c r="C8" s="4"/>
      <c r="H8" s="2" t="str">
        <f t="shared" si="1"/>
        <v>Main</v>
      </c>
      <c r="K8" s="2" t="s">
        <v>184</v>
      </c>
      <c r="L8" s="9"/>
      <c r="M8" s="9"/>
      <c r="S8" s="9"/>
      <c r="T8" s="9"/>
      <c r="U8" s="9" t="str">
        <f t="shared" si="2"/>
        <v>15</v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3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66" x14ac:dyDescent="0.2">
      <c r="A9" s="4">
        <f t="shared" si="0"/>
        <v>0</v>
      </c>
      <c r="B9" s="4"/>
      <c r="C9" s="4"/>
      <c r="H9" s="2" t="str">
        <f t="shared" si="1"/>
        <v>Main</v>
      </c>
      <c r="K9" s="2" t="s">
        <v>184</v>
      </c>
      <c r="L9" s="9"/>
      <c r="M9" s="9"/>
      <c r="S9" s="9"/>
      <c r="T9" s="9"/>
      <c r="U9" s="9" t="str">
        <f t="shared" si="2"/>
        <v>15</v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3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66" x14ac:dyDescent="0.2">
      <c r="A10" s="4">
        <f t="shared" si="0"/>
        <v>0</v>
      </c>
      <c r="B10" s="4"/>
      <c r="C10" s="4"/>
      <c r="H10" s="2" t="str">
        <f t="shared" si="1"/>
        <v>Main</v>
      </c>
      <c r="K10" s="2" t="s">
        <v>184</v>
      </c>
      <c r="L10" s="9"/>
      <c r="M10" s="9"/>
      <c r="S10" s="9"/>
      <c r="T10" s="9"/>
      <c r="U10" s="9" t="str">
        <f t="shared" si="2"/>
        <v>15</v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3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66" x14ac:dyDescent="0.2">
      <c r="A11" s="4">
        <f t="shared" si="0"/>
        <v>0</v>
      </c>
      <c r="B11" s="4"/>
      <c r="C11" s="4"/>
      <c r="H11" s="2" t="str">
        <f t="shared" si="1"/>
        <v>Main</v>
      </c>
      <c r="K11" s="2" t="s">
        <v>184</v>
      </c>
      <c r="L11" s="9"/>
      <c r="M11" s="9"/>
      <c r="S11" s="9"/>
      <c r="T11" s="9"/>
      <c r="U11" s="9" t="str">
        <f t="shared" si="2"/>
        <v>15</v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3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66" x14ac:dyDescent="0.2">
      <c r="A12" s="4">
        <f t="shared" si="0"/>
        <v>0</v>
      </c>
      <c r="B12" s="4"/>
      <c r="C12" s="4"/>
      <c r="H12" s="2" t="str">
        <f t="shared" si="1"/>
        <v>Main</v>
      </c>
      <c r="K12" s="2" t="s">
        <v>184</v>
      </c>
      <c r="L12" s="9"/>
      <c r="M12" s="9"/>
      <c r="S12" s="9"/>
      <c r="T12" s="9"/>
      <c r="U12" s="9" t="str">
        <f t="shared" si="2"/>
        <v>15</v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3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66" x14ac:dyDescent="0.2">
      <c r="A13" s="4">
        <f t="shared" si="0"/>
        <v>0</v>
      </c>
      <c r="B13" s="4"/>
      <c r="C13" s="4"/>
      <c r="H13" s="2" t="str">
        <f t="shared" si="1"/>
        <v>Main</v>
      </c>
      <c r="K13" s="2" t="str">
        <f t="shared" si="4"/>
        <v>HGSC</v>
      </c>
      <c r="L13" s="9"/>
      <c r="M13" s="9"/>
      <c r="S13" s="9"/>
      <c r="T13" s="9"/>
      <c r="U13" s="9" t="str">
        <f t="shared" si="2"/>
        <v>15</v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3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66" x14ac:dyDescent="0.2">
      <c r="A14" s="4">
        <f t="shared" si="0"/>
        <v>0</v>
      </c>
      <c r="B14" s="4"/>
      <c r="C14" s="4"/>
      <c r="H14" s="2" t="str">
        <f t="shared" si="1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2"/>
        <v>15</v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3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66" x14ac:dyDescent="0.2">
      <c r="A15" s="4">
        <f t="shared" si="0"/>
        <v>0</v>
      </c>
      <c r="B15" s="4"/>
      <c r="C15" s="4"/>
      <c r="H15" s="2" t="str">
        <f t="shared" si="1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2"/>
        <v>15</v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3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66" x14ac:dyDescent="0.2">
      <c r="A16" s="4">
        <f t="shared" si="0"/>
        <v>0</v>
      </c>
      <c r="B16" s="4"/>
      <c r="C16" s="4"/>
      <c r="H16" s="2" t="str">
        <f t="shared" si="1"/>
        <v>Main</v>
      </c>
      <c r="K16" s="2" t="str">
        <f t="shared" si="4"/>
        <v>HGSC</v>
      </c>
      <c r="L16" s="9"/>
      <c r="M16" s="9"/>
      <c r="S16" s="9"/>
      <c r="T16" s="9"/>
      <c r="U16" s="9" t="str">
        <f t="shared" si="2"/>
        <v>15</v>
      </c>
      <c r="V16" s="9"/>
      <c r="W16" s="9"/>
      <c r="X16" s="9"/>
      <c r="Y16" s="9"/>
      <c r="Z16" s="9"/>
      <c r="AA16" s="9"/>
      <c r="AB16" s="9"/>
      <c r="AC16" s="9"/>
      <c r="AD16" s="9"/>
      <c r="AE16" s="9" t="str">
        <f t="shared" si="3"/>
        <v>IGO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</row>
    <row r="17" spans="1:66" x14ac:dyDescent="0.2">
      <c r="A17" s="4">
        <f t="shared" si="0"/>
        <v>0</v>
      </c>
      <c r="B17" s="4"/>
      <c r="C17" s="4"/>
      <c r="H17" s="2" t="str">
        <f t="shared" si="1"/>
        <v>Main</v>
      </c>
      <c r="K17" s="2" t="str">
        <f t="shared" si="4"/>
        <v>HGSC</v>
      </c>
      <c r="L17" s="9"/>
      <c r="M17" s="9"/>
      <c r="S17" s="9"/>
      <c r="T17" s="9"/>
      <c r="U17" s="9" t="str">
        <f t="shared" si="2"/>
        <v>15</v>
      </c>
      <c r="V17" s="9"/>
      <c r="W17" s="9"/>
      <c r="X17" s="9"/>
      <c r="Y17" s="9"/>
      <c r="Z17" s="9"/>
      <c r="AA17" s="9"/>
      <c r="AB17" s="9"/>
      <c r="AC17" s="9"/>
      <c r="AD17" s="9"/>
      <c r="AE17" s="9" t="str">
        <f t="shared" si="3"/>
        <v>IGO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</row>
    <row r="18" spans="1:66" x14ac:dyDescent="0.2">
      <c r="A18" s="4">
        <f t="shared" si="0"/>
        <v>0</v>
      </c>
      <c r="B18" s="4"/>
      <c r="C18" s="4"/>
      <c r="H18" s="2" t="str">
        <f t="shared" si="1"/>
        <v>Main</v>
      </c>
      <c r="K18" s="2" t="str">
        <f t="shared" si="4"/>
        <v>HGSC</v>
      </c>
      <c r="L18" s="9"/>
      <c r="M18" s="9"/>
      <c r="S18" s="9"/>
      <c r="T18" s="9"/>
      <c r="U18" s="9" t="str">
        <f t="shared" si="2"/>
        <v>15</v>
      </c>
      <c r="V18" s="9"/>
      <c r="W18" s="9"/>
      <c r="X18" s="9"/>
      <c r="Y18" s="9"/>
      <c r="Z18" s="9"/>
      <c r="AA18" s="9"/>
      <c r="AB18" s="9"/>
      <c r="AC18" s="9"/>
      <c r="AD18" s="9"/>
      <c r="AE18" s="9" t="str">
        <f t="shared" si="3"/>
        <v>IGO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</row>
    <row r="19" spans="1:66" x14ac:dyDescent="0.2">
      <c r="A19" s="4">
        <f t="shared" si="0"/>
        <v>0</v>
      </c>
      <c r="B19" s="4"/>
      <c r="C19" s="4"/>
      <c r="H19" s="2" t="str">
        <f t="shared" si="1"/>
        <v>Main</v>
      </c>
      <c r="K19" s="2" t="str">
        <f t="shared" si="4"/>
        <v>HGSC</v>
      </c>
      <c r="L19" s="9"/>
      <c r="M19" s="9"/>
      <c r="S19" s="9"/>
      <c r="T19" s="9"/>
      <c r="U19" s="9" t="str">
        <f t="shared" si="2"/>
        <v>15</v>
      </c>
      <c r="V19" s="9"/>
      <c r="W19" s="9"/>
      <c r="X19" s="9"/>
      <c r="Y19" s="9"/>
      <c r="Z19" s="9"/>
      <c r="AA19" s="9"/>
      <c r="AB19" s="9"/>
      <c r="AC19" s="9"/>
      <c r="AD19" s="9"/>
      <c r="AE19" s="9" t="str">
        <f t="shared" si="3"/>
        <v>IGO</v>
      </c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</row>
    <row r="20" spans="1:66" x14ac:dyDescent="0.2">
      <c r="A20" s="4">
        <f t="shared" si="0"/>
        <v>0</v>
      </c>
      <c r="B20" s="4"/>
      <c r="C20" s="4"/>
      <c r="H20" s="2" t="str">
        <f t="shared" si="1"/>
        <v>Main</v>
      </c>
      <c r="K20" s="2" t="str">
        <f t="shared" si="4"/>
        <v>HGSC</v>
      </c>
      <c r="L20" s="9"/>
      <c r="M20" s="9"/>
      <c r="S20" s="9"/>
      <c r="T20" s="9"/>
      <c r="U20" s="9" t="str">
        <f t="shared" si="2"/>
        <v>15</v>
      </c>
      <c r="V20" s="9"/>
      <c r="W20" s="9"/>
      <c r="X20" s="9"/>
      <c r="Y20" s="9"/>
      <c r="Z20" s="9"/>
      <c r="AA20" s="9"/>
      <c r="AB20" s="9"/>
      <c r="AC20" s="9"/>
      <c r="AD20" s="9"/>
      <c r="AE20" s="9" t="str">
        <f t="shared" si="3"/>
        <v>IGO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</row>
    <row r="21" spans="1:66" x14ac:dyDescent="0.2">
      <c r="A21" s="4">
        <f t="shared" si="0"/>
        <v>0</v>
      </c>
      <c r="B21" s="4"/>
      <c r="C21" s="4"/>
      <c r="H21" s="2" t="str">
        <f t="shared" si="1"/>
        <v>Main</v>
      </c>
      <c r="K21" s="2" t="str">
        <f t="shared" si="4"/>
        <v>HGSC</v>
      </c>
      <c r="L21" s="9"/>
      <c r="M21" s="9"/>
      <c r="S21" s="9"/>
      <c r="T21" s="9"/>
      <c r="U21" s="9" t="str">
        <f t="shared" si="2"/>
        <v>15</v>
      </c>
      <c r="V21" s="9"/>
      <c r="W21" s="9"/>
      <c r="X21" s="9"/>
      <c r="Y21" s="9"/>
      <c r="Z21" s="9"/>
      <c r="AA21" s="9"/>
      <c r="AB21" s="9"/>
      <c r="AC21" s="9"/>
      <c r="AD21" s="9"/>
      <c r="AE21" s="9" t="str">
        <f t="shared" si="3"/>
        <v>IGO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</row>
    <row r="22" spans="1:66" x14ac:dyDescent="0.2">
      <c r="A22" s="4">
        <f t="shared" si="0"/>
        <v>0</v>
      </c>
      <c r="B22" s="4"/>
      <c r="C22" s="4"/>
      <c r="H22" s="2" t="str">
        <f t="shared" si="1"/>
        <v>Main</v>
      </c>
      <c r="K22" s="2" t="str">
        <f t="shared" si="4"/>
        <v>HGSC</v>
      </c>
      <c r="L22" s="9"/>
      <c r="M22" s="9"/>
      <c r="S22" s="9"/>
      <c r="T22" s="9"/>
      <c r="U22" s="9" t="str">
        <f t="shared" si="2"/>
        <v>15</v>
      </c>
      <c r="V22" s="9"/>
      <c r="W22" s="9"/>
      <c r="X22" s="9"/>
      <c r="Y22" s="9"/>
      <c r="Z22" s="9"/>
      <c r="AA22" s="9"/>
      <c r="AB22" s="9"/>
      <c r="AC22" s="9"/>
      <c r="AD22" s="9"/>
      <c r="AE22" s="9" t="str">
        <f t="shared" si="3"/>
        <v>IGO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</row>
    <row r="23" spans="1:66" x14ac:dyDescent="0.2">
      <c r="A23" s="4">
        <f t="shared" si="0"/>
        <v>0</v>
      </c>
      <c r="B23" s="4"/>
      <c r="C23" s="4"/>
      <c r="H23" s="2" t="str">
        <f t="shared" si="1"/>
        <v>Main</v>
      </c>
      <c r="K23" s="2" t="str">
        <f t="shared" si="4"/>
        <v>HGSC</v>
      </c>
      <c r="L23" s="9"/>
      <c r="M23" s="9"/>
      <c r="S23" s="9"/>
      <c r="T23" s="9"/>
      <c r="U23" s="9" t="str">
        <f t="shared" si="2"/>
        <v>15</v>
      </c>
      <c r="V23" s="9"/>
      <c r="W23" s="9"/>
      <c r="X23" s="9"/>
      <c r="Y23" s="9"/>
      <c r="Z23" s="9"/>
      <c r="AA23" s="9"/>
      <c r="AB23" s="9"/>
      <c r="AC23" s="9"/>
      <c r="AD23" s="9"/>
      <c r="AE23" s="9" t="str">
        <f t="shared" si="3"/>
        <v>IGO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</row>
    <row r="24" spans="1:66" x14ac:dyDescent="0.2">
      <c r="A24" s="4">
        <f t="shared" si="0"/>
        <v>0</v>
      </c>
      <c r="B24" s="4"/>
      <c r="C24" s="4"/>
      <c r="H24" s="2" t="str">
        <f t="shared" si="1"/>
        <v>Main</v>
      </c>
      <c r="K24" s="2" t="str">
        <f t="shared" si="4"/>
        <v>HGSC</v>
      </c>
      <c r="L24" s="9"/>
      <c r="M24" s="9"/>
      <c r="S24" s="9"/>
      <c r="T24" s="9"/>
      <c r="U24" s="9" t="str">
        <f t="shared" si="2"/>
        <v>15</v>
      </c>
      <c r="V24" s="9"/>
      <c r="W24" s="9"/>
      <c r="X24" s="9"/>
      <c r="Y24" s="9"/>
      <c r="Z24" s="9"/>
      <c r="AA24" s="9"/>
      <c r="AB24" s="9"/>
      <c r="AC24" s="9"/>
      <c r="AD24" s="9"/>
      <c r="AE24" s="9" t="str">
        <f t="shared" si="3"/>
        <v>IGO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</row>
    <row r="25" spans="1:66" x14ac:dyDescent="0.2">
      <c r="A25" s="4">
        <f t="shared" si="0"/>
        <v>0</v>
      </c>
      <c r="B25" s="4"/>
      <c r="C25" s="4"/>
      <c r="H25" s="2" t="str">
        <f t="shared" si="1"/>
        <v>Main</v>
      </c>
      <c r="K25" s="2" t="str">
        <f t="shared" si="4"/>
        <v>HGSC</v>
      </c>
      <c r="L25" s="9"/>
      <c r="M25" s="9"/>
      <c r="S25" s="9"/>
      <c r="T25" s="9"/>
      <c r="U25" s="9" t="str">
        <f t="shared" si="2"/>
        <v>15</v>
      </c>
      <c r="V25" s="9"/>
      <c r="W25" s="9"/>
      <c r="X25" s="9"/>
      <c r="Y25" s="9"/>
      <c r="Z25" s="9"/>
      <c r="AA25" s="9"/>
      <c r="AB25" s="9"/>
      <c r="AC25" s="9"/>
      <c r="AD25" s="9"/>
      <c r="AE25" s="9" t="str">
        <f t="shared" si="3"/>
        <v>IGO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</row>
    <row r="26" spans="1:66" x14ac:dyDescent="0.2">
      <c r="A26" s="4">
        <f t="shared" si="0"/>
        <v>0</v>
      </c>
      <c r="B26" s="4"/>
      <c r="C26" s="4"/>
      <c r="H26" s="2" t="str">
        <f t="shared" si="1"/>
        <v>Main</v>
      </c>
      <c r="K26" s="2" t="str">
        <f t="shared" si="4"/>
        <v>HGSC</v>
      </c>
      <c r="L26" s="9"/>
      <c r="M26" s="9"/>
      <c r="S26" s="9"/>
      <c r="T26" s="9"/>
      <c r="U26" s="9" t="str">
        <f t="shared" si="2"/>
        <v>15</v>
      </c>
      <c r="V26" s="9"/>
      <c r="W26" s="9"/>
      <c r="X26" s="9"/>
      <c r="Y26" s="9"/>
      <c r="Z26" s="9"/>
      <c r="AA26" s="9"/>
      <c r="AB26" s="9"/>
      <c r="AC26" s="9"/>
      <c r="AD26" s="9"/>
      <c r="AE26" s="9" t="str">
        <f t="shared" si="3"/>
        <v>IGO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</row>
    <row r="27" spans="1:66" x14ac:dyDescent="0.2">
      <c r="A27" s="4">
        <f t="shared" si="0"/>
        <v>0</v>
      </c>
      <c r="B27" s="4"/>
      <c r="C27" s="4"/>
      <c r="H27" s="2" t="str">
        <f t="shared" si="1"/>
        <v>Main</v>
      </c>
      <c r="K27" s="2" t="str">
        <f t="shared" si="4"/>
        <v>HGSC</v>
      </c>
      <c r="L27" s="9"/>
      <c r="M27" s="9"/>
      <c r="S27" s="9"/>
      <c r="T27" s="9"/>
      <c r="U27" s="9" t="str">
        <f t="shared" si="2"/>
        <v>15</v>
      </c>
      <c r="V27" s="9"/>
      <c r="W27" s="9"/>
      <c r="X27" s="9"/>
      <c r="Y27" s="9"/>
      <c r="Z27" s="9"/>
      <c r="AA27" s="9"/>
      <c r="AB27" s="9"/>
      <c r="AC27" s="9"/>
      <c r="AD27" s="9"/>
      <c r="AE27" s="9" t="str">
        <f t="shared" si="3"/>
        <v>IGO</v>
      </c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</row>
    <row r="28" spans="1:66" x14ac:dyDescent="0.2">
      <c r="A28" s="4">
        <f t="shared" si="0"/>
        <v>0</v>
      </c>
      <c r="B28" s="4"/>
      <c r="C28" s="4"/>
      <c r="H28" s="2" t="str">
        <f t="shared" si="1"/>
        <v>Main</v>
      </c>
      <c r="K28" s="2" t="str">
        <f t="shared" si="4"/>
        <v>HGSC</v>
      </c>
      <c r="L28" s="9"/>
      <c r="M28" s="9"/>
      <c r="S28" s="9"/>
      <c r="T28" s="9"/>
      <c r="U28" s="9" t="str">
        <f t="shared" si="2"/>
        <v>15</v>
      </c>
      <c r="V28" s="9"/>
      <c r="W28" s="9"/>
      <c r="X28" s="9"/>
      <c r="Y28" s="9"/>
      <c r="Z28" s="9"/>
      <c r="AA28" s="9"/>
      <c r="AB28" s="9"/>
      <c r="AC28" s="9"/>
      <c r="AD28" s="9"/>
      <c r="AE28" s="9" t="str">
        <f t="shared" si="3"/>
        <v>IGO</v>
      </c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</row>
    <row r="29" spans="1:66" x14ac:dyDescent="0.2">
      <c r="A29" s="4">
        <f t="shared" si="0"/>
        <v>0</v>
      </c>
      <c r="B29" s="4"/>
      <c r="C29" s="4"/>
      <c r="H29" s="2" t="str">
        <f t="shared" si="1"/>
        <v>Main</v>
      </c>
      <c r="K29" s="2" t="str">
        <f t="shared" si="4"/>
        <v>HGSC</v>
      </c>
      <c r="L29" s="9"/>
      <c r="M29" s="9"/>
      <c r="S29" s="9"/>
      <c r="T29" s="9"/>
      <c r="U29" s="9" t="str">
        <f t="shared" si="2"/>
        <v>15</v>
      </c>
      <c r="V29" s="9"/>
      <c r="W29" s="9"/>
      <c r="X29" s="9"/>
      <c r="Y29" s="9"/>
      <c r="Z29" s="9"/>
      <c r="AA29" s="9"/>
      <c r="AB29" s="9"/>
      <c r="AC29" s="9"/>
      <c r="AD29" s="9"/>
      <c r="AE29" s="9" t="str">
        <f t="shared" si="3"/>
        <v>IGO</v>
      </c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</row>
    <row r="30" spans="1:66" x14ac:dyDescent="0.2">
      <c r="A30" s="4">
        <f t="shared" si="0"/>
        <v>0</v>
      </c>
      <c r="B30" s="4"/>
      <c r="C30" s="4"/>
      <c r="H30" s="2" t="str">
        <f t="shared" si="1"/>
        <v>Main</v>
      </c>
      <c r="K30" s="2" t="str">
        <f t="shared" si="4"/>
        <v>HGSC</v>
      </c>
      <c r="L30" s="9"/>
      <c r="M30" s="9"/>
      <c r="S30" s="9"/>
      <c r="T30" s="9"/>
      <c r="U30" s="9" t="str">
        <f t="shared" si="2"/>
        <v>15</v>
      </c>
      <c r="V30" s="9"/>
      <c r="W30" s="9"/>
      <c r="X30" s="9"/>
      <c r="Y30" s="9"/>
      <c r="Z30" s="9"/>
      <c r="AA30" s="9"/>
      <c r="AB30" s="9"/>
      <c r="AC30" s="9"/>
      <c r="AD30" s="9"/>
      <c r="AE30" s="9" t="str">
        <f t="shared" si="3"/>
        <v>IGO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</row>
    <row r="31" spans="1:66" x14ac:dyDescent="0.2">
      <c r="A31" s="4">
        <f t="shared" si="0"/>
        <v>0</v>
      </c>
      <c r="B31" s="4"/>
      <c r="C31" s="4"/>
      <c r="H31" s="2" t="str">
        <f t="shared" si="1"/>
        <v>Main</v>
      </c>
      <c r="K31" s="2" t="str">
        <f t="shared" si="4"/>
        <v>HGSC</v>
      </c>
      <c r="L31" s="9"/>
      <c r="M31" s="9"/>
      <c r="S31" s="9"/>
      <c r="T31" s="9"/>
      <c r="U31" s="9" t="str">
        <f t="shared" si="2"/>
        <v>15</v>
      </c>
      <c r="V31" s="9"/>
      <c r="W31" s="9"/>
      <c r="X31" s="9"/>
      <c r="Y31" s="9"/>
      <c r="Z31" s="9"/>
      <c r="AA31" s="9"/>
      <c r="AB31" s="9"/>
      <c r="AC31" s="9"/>
      <c r="AD31" s="9"/>
      <c r="AE31" s="9" t="str">
        <f t="shared" si="3"/>
        <v>IGO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</row>
    <row r="32" spans="1:66" x14ac:dyDescent="0.2">
      <c r="A32" s="4">
        <f t="shared" si="0"/>
        <v>0</v>
      </c>
      <c r="B32" s="4"/>
      <c r="C32" s="4"/>
      <c r="H32" s="2" t="str">
        <f t="shared" si="1"/>
        <v>Main</v>
      </c>
      <c r="K32" s="2" t="str">
        <f t="shared" si="4"/>
        <v>HGSC</v>
      </c>
      <c r="L32" s="9"/>
      <c r="M32" s="9"/>
      <c r="S32" s="9"/>
      <c r="T32" s="9"/>
      <c r="U32" s="9" t="str">
        <f t="shared" si="2"/>
        <v>15</v>
      </c>
      <c r="V32" s="9"/>
      <c r="W32" s="9"/>
      <c r="X32" s="9"/>
      <c r="Y32" s="9"/>
      <c r="Z32" s="9"/>
      <c r="AA32" s="9"/>
      <c r="AB32" s="9"/>
      <c r="AC32" s="9"/>
      <c r="AD32" s="9"/>
      <c r="AE32" s="9" t="str">
        <f t="shared" si="3"/>
        <v>IGO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</row>
    <row r="33" spans="1:66" x14ac:dyDescent="0.2">
      <c r="A33" s="4">
        <f t="shared" si="0"/>
        <v>0</v>
      </c>
      <c r="B33" s="4"/>
      <c r="C33" s="4"/>
      <c r="H33" s="2" t="str">
        <f t="shared" si="1"/>
        <v>Main</v>
      </c>
      <c r="K33" s="2" t="str">
        <f t="shared" si="4"/>
        <v>HGSC</v>
      </c>
      <c r="L33" s="9"/>
      <c r="M33" s="9"/>
      <c r="S33" s="9"/>
      <c r="T33" s="9"/>
      <c r="U33" s="9" t="str">
        <f t="shared" si="2"/>
        <v>15</v>
      </c>
      <c r="V33" s="9"/>
      <c r="W33" s="9"/>
      <c r="X33" s="9"/>
      <c r="Y33" s="9"/>
      <c r="Z33" s="9"/>
      <c r="AA33" s="9"/>
      <c r="AB33" s="9"/>
      <c r="AC33" s="9"/>
      <c r="AD33" s="9"/>
      <c r="AE33" s="9" t="str">
        <f t="shared" si="3"/>
        <v>IGO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</row>
    <row r="34" spans="1:66" x14ac:dyDescent="0.2">
      <c r="A34" s="4">
        <f t="shared" si="0"/>
        <v>0</v>
      </c>
      <c r="B34" s="4"/>
      <c r="C34" s="4"/>
      <c r="H34" s="2" t="str">
        <f t="shared" si="1"/>
        <v>Main</v>
      </c>
      <c r="K34" s="2" t="str">
        <f t="shared" si="4"/>
        <v>HGSC</v>
      </c>
      <c r="L34" s="9"/>
      <c r="M34" s="9"/>
      <c r="S34" s="9"/>
      <c r="T34" s="9"/>
      <c r="U34" s="9" t="str">
        <f t="shared" si="2"/>
        <v>15</v>
      </c>
      <c r="V34" s="9"/>
      <c r="W34" s="9"/>
      <c r="X34" s="9"/>
      <c r="Y34" s="9"/>
      <c r="Z34" s="9"/>
      <c r="AA34" s="9"/>
      <c r="AB34" s="9"/>
      <c r="AC34" s="9"/>
      <c r="AD34" s="9"/>
      <c r="AE34" s="9" t="str">
        <f t="shared" si="3"/>
        <v>IGO</v>
      </c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</row>
    <row r="35" spans="1:66" x14ac:dyDescent="0.2">
      <c r="A35" s="4">
        <f t="shared" si="0"/>
        <v>0</v>
      </c>
      <c r="B35" s="4"/>
      <c r="C35" s="4"/>
      <c r="H35" s="2" t="str">
        <f t="shared" si="1"/>
        <v>Main</v>
      </c>
      <c r="K35" s="2" t="str">
        <f t="shared" si="4"/>
        <v>HGSC</v>
      </c>
      <c r="L35" s="9"/>
      <c r="M35" s="9"/>
      <c r="S35" s="9"/>
      <c r="T35" s="9"/>
      <c r="U35" s="9" t="str">
        <f t="shared" si="2"/>
        <v>15</v>
      </c>
      <c r="V35" s="9"/>
      <c r="W35" s="9"/>
      <c r="X35" s="9"/>
      <c r="Y35" s="9"/>
      <c r="Z35" s="9"/>
      <c r="AA35" s="9"/>
      <c r="AB35" s="9"/>
      <c r="AC35" s="9"/>
      <c r="AD35" s="9"/>
      <c r="AE35" s="9" t="str">
        <f t="shared" si="3"/>
        <v>IGO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</row>
    <row r="36" spans="1:66" x14ac:dyDescent="0.2">
      <c r="A36" s="4">
        <f t="shared" si="0"/>
        <v>0</v>
      </c>
      <c r="B36" s="4"/>
      <c r="C36" s="4"/>
      <c r="H36" s="2" t="str">
        <f t="shared" si="1"/>
        <v>Main</v>
      </c>
      <c r="K36" s="2" t="str">
        <f t="shared" si="4"/>
        <v>HGSC</v>
      </c>
      <c r="L36" s="9"/>
      <c r="M36" s="9"/>
      <c r="S36" s="9"/>
      <c r="T36" s="9"/>
      <c r="U36" s="9" t="str">
        <f t="shared" si="2"/>
        <v>15</v>
      </c>
      <c r="V36" s="9"/>
      <c r="W36" s="9"/>
      <c r="X36" s="9"/>
      <c r="Y36" s="9"/>
      <c r="Z36" s="9"/>
      <c r="AA36" s="9"/>
      <c r="AB36" s="9"/>
      <c r="AC36" s="9"/>
      <c r="AD36" s="9"/>
      <c r="AE36" s="9" t="str">
        <f t="shared" si="3"/>
        <v>IGO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</row>
    <row r="37" spans="1:66" x14ac:dyDescent="0.2">
      <c r="A37" s="4">
        <f t="shared" si="0"/>
        <v>0</v>
      </c>
      <c r="B37" s="4"/>
      <c r="C37" s="4"/>
      <c r="H37" s="2" t="str">
        <f t="shared" si="1"/>
        <v>Main</v>
      </c>
      <c r="K37" s="2" t="str">
        <f t="shared" si="4"/>
        <v>HGSC</v>
      </c>
      <c r="L37" s="9"/>
      <c r="M37" s="9"/>
      <c r="S37" s="9"/>
      <c r="T37" s="9"/>
      <c r="U37" s="9" t="str">
        <f t="shared" si="2"/>
        <v>15</v>
      </c>
      <c r="V37" s="9"/>
      <c r="W37" s="9"/>
      <c r="X37" s="9"/>
      <c r="Y37" s="9"/>
      <c r="Z37" s="9"/>
      <c r="AA37" s="9"/>
      <c r="AB37" s="9"/>
      <c r="AC37" s="9"/>
      <c r="AD37" s="9"/>
      <c r="AE37" s="9" t="str">
        <f t="shared" si="3"/>
        <v>IGO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</row>
    <row r="38" spans="1:66" x14ac:dyDescent="0.2">
      <c r="A38" s="4">
        <f t="shared" si="0"/>
        <v>0</v>
      </c>
      <c r="B38" s="4"/>
      <c r="C38" s="4"/>
      <c r="H38" s="2" t="str">
        <f t="shared" si="1"/>
        <v>Main</v>
      </c>
      <c r="K38" s="2" t="str">
        <f t="shared" si="4"/>
        <v>HGSC</v>
      </c>
      <c r="L38" s="9"/>
      <c r="M38" s="9"/>
      <c r="S38" s="9"/>
      <c r="T38" s="9"/>
      <c r="U38" s="9" t="str">
        <f t="shared" si="2"/>
        <v>15</v>
      </c>
      <c r="V38" s="9"/>
      <c r="W38" s="9"/>
      <c r="X38" s="9"/>
      <c r="Y38" s="9"/>
      <c r="Z38" s="9"/>
      <c r="AA38" s="9"/>
      <c r="AB38" s="9"/>
      <c r="AC38" s="9"/>
      <c r="AD38" s="9"/>
      <c r="AE38" s="9" t="str">
        <f t="shared" si="3"/>
        <v>IGO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</row>
    <row r="39" spans="1:66" x14ac:dyDescent="0.2">
      <c r="A39" s="4">
        <f t="shared" si="0"/>
        <v>0</v>
      </c>
      <c r="B39" s="4"/>
      <c r="C39" s="4"/>
      <c r="H39" s="2" t="str">
        <f t="shared" si="1"/>
        <v>Main</v>
      </c>
      <c r="K39" s="2" t="str">
        <f t="shared" si="4"/>
        <v>HGSC</v>
      </c>
      <c r="L39" s="9"/>
      <c r="M39" s="9"/>
      <c r="S39" s="9"/>
      <c r="T39" s="9"/>
      <c r="U39" s="9" t="str">
        <f t="shared" si="2"/>
        <v>15</v>
      </c>
      <c r="V39" s="9"/>
      <c r="W39" s="9"/>
      <c r="X39" s="9"/>
      <c r="Y39" s="9"/>
      <c r="Z39" s="9"/>
      <c r="AA39" s="9"/>
      <c r="AB39" s="9"/>
      <c r="AC39" s="9"/>
      <c r="AD39" s="9"/>
      <c r="AE39" s="9" t="str">
        <f t="shared" si="3"/>
        <v>IGO</v>
      </c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</row>
    <row r="40" spans="1:66" x14ac:dyDescent="0.2">
      <c r="A40" s="4">
        <f t="shared" si="0"/>
        <v>0</v>
      </c>
      <c r="B40" s="4"/>
      <c r="C40" s="4"/>
      <c r="H40" s="2" t="str">
        <f t="shared" si="1"/>
        <v>Main</v>
      </c>
      <c r="K40" s="2" t="str">
        <f t="shared" si="4"/>
        <v>HGSC</v>
      </c>
      <c r="L40" s="9"/>
      <c r="M40" s="9"/>
      <c r="S40" s="9"/>
      <c r="T40" s="9"/>
      <c r="U40" s="9" t="str">
        <f t="shared" si="2"/>
        <v>15</v>
      </c>
      <c r="V40" s="9"/>
      <c r="W40" s="9"/>
      <c r="X40" s="9"/>
      <c r="Y40" s="9"/>
      <c r="Z40" s="9"/>
      <c r="AA40" s="9"/>
      <c r="AB40" s="9"/>
      <c r="AC40" s="9"/>
      <c r="AD40" s="9"/>
      <c r="AE40" s="9" t="str">
        <f t="shared" si="3"/>
        <v>IGO</v>
      </c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</row>
    <row r="41" spans="1:66" x14ac:dyDescent="0.2">
      <c r="A41" s="4">
        <f t="shared" si="0"/>
        <v>0</v>
      </c>
      <c r="B41" s="4"/>
      <c r="C41" s="4"/>
      <c r="H41" s="2" t="str">
        <f t="shared" si="1"/>
        <v>Main</v>
      </c>
      <c r="K41" s="2" t="str">
        <f t="shared" si="4"/>
        <v>HGSC</v>
      </c>
      <c r="L41" s="9"/>
      <c r="M41" s="9"/>
      <c r="S41" s="9"/>
      <c r="T41" s="9"/>
      <c r="U41" s="9" t="str">
        <f t="shared" si="2"/>
        <v>15</v>
      </c>
      <c r="V41" s="9"/>
      <c r="W41" s="9"/>
      <c r="X41" s="9"/>
      <c r="Y41" s="9"/>
      <c r="Z41" s="9"/>
      <c r="AA41" s="9"/>
      <c r="AB41" s="9"/>
      <c r="AC41" s="9"/>
      <c r="AD41" s="9"/>
      <c r="AE41" s="9" t="str">
        <f t="shared" si="3"/>
        <v>IGO</v>
      </c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</row>
    <row r="42" spans="1:66" x14ac:dyDescent="0.2">
      <c r="A42" s="4">
        <f t="shared" si="0"/>
        <v>0</v>
      </c>
      <c r="B42" s="4"/>
      <c r="C42" s="4"/>
      <c r="H42" s="2" t="str">
        <f t="shared" si="1"/>
        <v>Main</v>
      </c>
      <c r="K42" s="2" t="str">
        <f t="shared" si="4"/>
        <v>HGSC</v>
      </c>
      <c r="L42" s="9"/>
      <c r="M42" s="9"/>
      <c r="S42" s="9"/>
      <c r="T42" s="9"/>
      <c r="U42" s="9" t="str">
        <f t="shared" si="2"/>
        <v>15</v>
      </c>
      <c r="V42" s="9"/>
      <c r="W42" s="9"/>
      <c r="X42" s="9"/>
      <c r="Y42" s="9"/>
      <c r="Z42" s="9"/>
      <c r="AA42" s="9"/>
      <c r="AB42" s="9"/>
      <c r="AC42" s="9"/>
      <c r="AD42" s="9"/>
      <c r="AE42" s="9" t="str">
        <f t="shared" si="3"/>
        <v>IGO</v>
      </c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</row>
    <row r="43" spans="1:66" x14ac:dyDescent="0.2">
      <c r="A43" s="4">
        <f t="shared" si="0"/>
        <v>0</v>
      </c>
      <c r="B43" s="4"/>
      <c r="C43" s="4"/>
      <c r="H43" s="2" t="str">
        <f t="shared" si="1"/>
        <v>Main</v>
      </c>
      <c r="K43" s="2" t="str">
        <f t="shared" si="4"/>
        <v>HGSC</v>
      </c>
      <c r="L43" s="9"/>
      <c r="M43" s="9"/>
      <c r="S43" s="9"/>
      <c r="T43" s="9"/>
      <c r="U43" s="9" t="str">
        <f t="shared" si="2"/>
        <v>15</v>
      </c>
      <c r="V43" s="9"/>
      <c r="W43" s="9"/>
      <c r="X43" s="9"/>
      <c r="Y43" s="9"/>
      <c r="Z43" s="9"/>
      <c r="AA43" s="9"/>
      <c r="AB43" s="9"/>
      <c r="AC43" s="9"/>
      <c r="AD43" s="9"/>
      <c r="AE43" s="9" t="str">
        <f t="shared" si="3"/>
        <v>IGO</v>
      </c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</row>
    <row r="44" spans="1:66" x14ac:dyDescent="0.2">
      <c r="A44" s="4">
        <f t="shared" si="0"/>
        <v>0</v>
      </c>
      <c r="B44" s="4"/>
      <c r="C44" s="4"/>
      <c r="H44" s="2" t="str">
        <f t="shared" si="1"/>
        <v>Main</v>
      </c>
      <c r="K44" s="2" t="str">
        <f t="shared" si="4"/>
        <v>HGSC</v>
      </c>
      <c r="L44" s="9"/>
      <c r="M44" s="9"/>
      <c r="S44" s="9"/>
      <c r="T44" s="9"/>
      <c r="U44" s="9" t="str">
        <f t="shared" si="2"/>
        <v>15</v>
      </c>
      <c r="V44" s="9"/>
      <c r="W44" s="9"/>
      <c r="X44" s="9"/>
      <c r="Y44" s="9"/>
      <c r="Z44" s="9"/>
      <c r="AA44" s="9"/>
      <c r="AB44" s="9"/>
      <c r="AC44" s="9"/>
      <c r="AD44" s="9"/>
      <c r="AE44" s="9" t="str">
        <f t="shared" si="3"/>
        <v>IGO</v>
      </c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</row>
    <row r="45" spans="1:66" x14ac:dyDescent="0.2">
      <c r="A45" s="4">
        <f t="shared" si="0"/>
        <v>0</v>
      </c>
      <c r="B45" s="4"/>
      <c r="C45" s="4"/>
      <c r="H45" s="2" t="str">
        <f t="shared" si="1"/>
        <v>Main</v>
      </c>
      <c r="K45" s="2" t="str">
        <f t="shared" si="4"/>
        <v>HGSC</v>
      </c>
      <c r="L45" s="9"/>
      <c r="M45" s="9"/>
      <c r="S45" s="9"/>
      <c r="T45" s="9"/>
      <c r="U45" s="9" t="str">
        <f t="shared" si="2"/>
        <v>15</v>
      </c>
      <c r="V45" s="9"/>
      <c r="W45" s="9"/>
      <c r="X45" s="9"/>
      <c r="Y45" s="9"/>
      <c r="Z45" s="9"/>
      <c r="AA45" s="9"/>
      <c r="AB45" s="9"/>
      <c r="AC45" s="9"/>
      <c r="AD45" s="9"/>
      <c r="AE45" s="9" t="str">
        <f t="shared" si="3"/>
        <v>IGO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</row>
    <row r="46" spans="1:66" x14ac:dyDescent="0.2">
      <c r="A46" s="4">
        <f t="shared" si="0"/>
        <v>0</v>
      </c>
      <c r="B46" s="4"/>
      <c r="C46" s="4"/>
      <c r="H46" s="2" t="str">
        <f t="shared" si="1"/>
        <v>Main</v>
      </c>
      <c r="K46" s="2" t="str">
        <f t="shared" si="4"/>
        <v>HGSC</v>
      </c>
      <c r="L46" s="9"/>
      <c r="M46" s="9"/>
      <c r="S46" s="9"/>
      <c r="T46" s="9"/>
      <c r="U46" s="9" t="str">
        <f t="shared" si="2"/>
        <v>15</v>
      </c>
      <c r="V46" s="9"/>
      <c r="W46" s="9"/>
      <c r="X46" s="9"/>
      <c r="Y46" s="9"/>
      <c r="Z46" s="9"/>
      <c r="AA46" s="9"/>
      <c r="AB46" s="9"/>
      <c r="AC46" s="9"/>
      <c r="AD46" s="9"/>
      <c r="AE46" s="9" t="str">
        <f t="shared" si="3"/>
        <v>IGO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</row>
    <row r="47" spans="1:66" x14ac:dyDescent="0.2">
      <c r="A47" s="4">
        <f t="shared" si="0"/>
        <v>0</v>
      </c>
      <c r="B47" s="4"/>
      <c r="C47" s="4"/>
      <c r="H47" s="2" t="str">
        <f t="shared" si="1"/>
        <v>Main</v>
      </c>
      <c r="K47" s="2" t="str">
        <f t="shared" si="4"/>
        <v>HGSC</v>
      </c>
      <c r="L47" s="9"/>
      <c r="M47" s="9"/>
      <c r="S47" s="9"/>
      <c r="T47" s="9"/>
      <c r="U47" s="9" t="str">
        <f t="shared" si="2"/>
        <v>15</v>
      </c>
      <c r="V47" s="9"/>
      <c r="W47" s="9"/>
      <c r="X47" s="9"/>
      <c r="Y47" s="9"/>
      <c r="Z47" s="9"/>
      <c r="AA47" s="9"/>
      <c r="AB47" s="9"/>
      <c r="AC47" s="9"/>
      <c r="AD47" s="9"/>
      <c r="AE47" s="9" t="str">
        <f t="shared" si="3"/>
        <v>IGO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</row>
    <row r="48" spans="1:66" x14ac:dyDescent="0.2">
      <c r="A48" s="4">
        <f t="shared" si="0"/>
        <v>0</v>
      </c>
      <c r="B48" s="4"/>
      <c r="C48" s="4"/>
      <c r="H48" s="2" t="str">
        <f t="shared" si="1"/>
        <v>Main</v>
      </c>
      <c r="K48" s="2" t="str">
        <f t="shared" si="4"/>
        <v>HGSC</v>
      </c>
      <c r="L48" s="9"/>
      <c r="M48" s="9"/>
      <c r="S48" s="9"/>
      <c r="T48" s="9"/>
      <c r="U48" s="9" t="str">
        <f t="shared" si="2"/>
        <v>15</v>
      </c>
      <c r="V48" s="9"/>
      <c r="W48" s="9"/>
      <c r="X48" s="9"/>
      <c r="Y48" s="9"/>
      <c r="Z48" s="9"/>
      <c r="AA48" s="9"/>
      <c r="AB48" s="9"/>
      <c r="AC48" s="9"/>
      <c r="AD48" s="9"/>
      <c r="AE48" s="9" t="str">
        <f t="shared" si="3"/>
        <v>IGO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</row>
    <row r="49" spans="1:66" x14ac:dyDescent="0.2">
      <c r="A49" s="4">
        <f t="shared" si="0"/>
        <v>0</v>
      </c>
      <c r="B49" s="4"/>
      <c r="C49" s="4"/>
      <c r="H49" s="2" t="str">
        <f t="shared" si="1"/>
        <v>Main</v>
      </c>
      <c r="K49" s="2" t="str">
        <f t="shared" si="4"/>
        <v>HGSC</v>
      </c>
      <c r="L49" s="9"/>
      <c r="M49" s="9"/>
      <c r="S49" s="9"/>
      <c r="T49" s="9"/>
      <c r="U49" s="9" t="str">
        <f t="shared" si="2"/>
        <v>15</v>
      </c>
      <c r="V49" s="9"/>
      <c r="W49" s="9"/>
      <c r="X49" s="9"/>
      <c r="Y49" s="9"/>
      <c r="Z49" s="9"/>
      <c r="AA49" s="9"/>
      <c r="AB49" s="9"/>
      <c r="AC49" s="9"/>
      <c r="AD49" s="9"/>
      <c r="AE49" s="9" t="str">
        <f t="shared" si="3"/>
        <v>IGO</v>
      </c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</row>
    <row r="50" spans="1:66" x14ac:dyDescent="0.2">
      <c r="A50" s="4">
        <f t="shared" si="0"/>
        <v>0</v>
      </c>
      <c r="B50" s="4"/>
      <c r="C50" s="4"/>
      <c r="H50" s="2" t="str">
        <f t="shared" si="1"/>
        <v>Main</v>
      </c>
      <c r="K50" s="2" t="str">
        <f t="shared" si="4"/>
        <v>HGSC</v>
      </c>
      <c r="L50" s="9"/>
      <c r="M50" s="9"/>
      <c r="S50" s="9"/>
      <c r="T50" s="9"/>
      <c r="U50" s="9" t="str">
        <f t="shared" si="2"/>
        <v>15</v>
      </c>
      <c r="V50" s="9"/>
      <c r="W50" s="9"/>
      <c r="X50" s="9"/>
      <c r="Y50" s="9"/>
      <c r="Z50" s="9"/>
      <c r="AA50" s="9"/>
      <c r="AB50" s="9"/>
      <c r="AC50" s="9"/>
      <c r="AD50" s="9"/>
      <c r="AE50" s="9" t="str">
        <f t="shared" si="3"/>
        <v>IGO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</row>
    <row r="51" spans="1:66" x14ac:dyDescent="0.2">
      <c r="A51" s="4">
        <f t="shared" si="0"/>
        <v>0</v>
      </c>
      <c r="B51" s="4"/>
      <c r="C51" s="4"/>
      <c r="H51" s="2" t="str">
        <f t="shared" si="1"/>
        <v>Main</v>
      </c>
      <c r="K51" s="2" t="str">
        <f t="shared" si="4"/>
        <v>HGSC</v>
      </c>
      <c r="L51" s="9"/>
      <c r="M51" s="9"/>
      <c r="S51" s="9"/>
      <c r="T51" s="9"/>
      <c r="U51" s="9" t="str">
        <f t="shared" si="2"/>
        <v>15</v>
      </c>
      <c r="V51" s="9"/>
      <c r="W51" s="9"/>
      <c r="X51" s="9"/>
      <c r="Y51" s="9"/>
      <c r="Z51" s="9"/>
      <c r="AA51" s="9"/>
      <c r="AB51" s="9"/>
      <c r="AC51" s="9"/>
      <c r="AD51" s="9"/>
      <c r="AE51" s="9" t="str">
        <f t="shared" si="3"/>
        <v>IGO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</row>
    <row r="52" spans="1:66" x14ac:dyDescent="0.2">
      <c r="A52" s="4">
        <f t="shared" si="0"/>
        <v>0</v>
      </c>
      <c r="B52" s="4"/>
      <c r="C52" s="4"/>
      <c r="H52" s="2" t="str">
        <f t="shared" si="1"/>
        <v>Main</v>
      </c>
      <c r="K52" s="2" t="str">
        <f t="shared" si="4"/>
        <v>HGSC</v>
      </c>
      <c r="L52" s="9"/>
      <c r="M52" s="9"/>
      <c r="S52" s="9"/>
      <c r="T52" s="9"/>
      <c r="U52" s="9" t="str">
        <f t="shared" si="2"/>
        <v>15</v>
      </c>
      <c r="V52" s="9"/>
      <c r="W52" s="9"/>
      <c r="X52" s="9"/>
      <c r="Y52" s="9"/>
      <c r="Z52" s="9"/>
      <c r="AA52" s="9"/>
      <c r="AB52" s="9"/>
      <c r="AC52" s="9"/>
      <c r="AD52" s="9"/>
      <c r="AE52" s="9" t="str">
        <f t="shared" si="3"/>
        <v>IGO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</row>
    <row r="53" spans="1:66" x14ac:dyDescent="0.2">
      <c r="A53" s="4">
        <f t="shared" si="0"/>
        <v>0</v>
      </c>
      <c r="B53" s="4"/>
      <c r="C53" s="4"/>
      <c r="H53" s="2" t="str">
        <f t="shared" si="1"/>
        <v>Main</v>
      </c>
      <c r="K53" s="2" t="str">
        <f t="shared" si="4"/>
        <v>HGSC</v>
      </c>
      <c r="L53" s="9"/>
      <c r="M53" s="9"/>
      <c r="S53" s="9"/>
      <c r="T53" s="9"/>
      <c r="U53" s="9" t="str">
        <f t="shared" si="2"/>
        <v>15</v>
      </c>
      <c r="V53" s="9"/>
      <c r="W53" s="9"/>
      <c r="X53" s="9"/>
      <c r="Y53" s="9"/>
      <c r="Z53" s="9"/>
      <c r="AA53" s="9"/>
      <c r="AB53" s="9"/>
      <c r="AC53" s="9"/>
      <c r="AD53" s="9"/>
      <c r="AE53" s="9" t="str">
        <f t="shared" si="3"/>
        <v>IGO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</row>
    <row r="54" spans="1:66" x14ac:dyDescent="0.2">
      <c r="A54" s="4">
        <f t="shared" si="0"/>
        <v>0</v>
      </c>
      <c r="B54" s="4"/>
      <c r="C54" s="4"/>
      <c r="H54" s="2" t="str">
        <f t="shared" si="1"/>
        <v>Main</v>
      </c>
      <c r="K54" s="2" t="str">
        <f t="shared" si="4"/>
        <v>HGSC</v>
      </c>
      <c r="L54" s="9"/>
      <c r="M54" s="9"/>
      <c r="S54" s="9"/>
      <c r="T54" s="9"/>
      <c r="U54" s="9" t="str">
        <f t="shared" si="2"/>
        <v>15</v>
      </c>
      <c r="V54" s="9"/>
      <c r="W54" s="9"/>
      <c r="X54" s="9"/>
      <c r="Y54" s="9"/>
      <c r="Z54" s="9"/>
      <c r="AA54" s="9"/>
      <c r="AB54" s="9"/>
      <c r="AC54" s="9"/>
      <c r="AD54" s="9"/>
      <c r="AE54" s="9" t="str">
        <f t="shared" si="3"/>
        <v>IGO</v>
      </c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</row>
    <row r="55" spans="1:66" x14ac:dyDescent="0.2">
      <c r="A55" s="4">
        <f t="shared" si="0"/>
        <v>0</v>
      </c>
      <c r="B55" s="4"/>
      <c r="C55" s="4"/>
      <c r="H55" s="2" t="str">
        <f t="shared" si="1"/>
        <v>Main</v>
      </c>
      <c r="K55" s="2" t="str">
        <f t="shared" si="4"/>
        <v>HGSC</v>
      </c>
      <c r="L55" s="9"/>
      <c r="M55" s="9"/>
      <c r="S55" s="9"/>
      <c r="T55" s="9"/>
      <c r="U55" s="9" t="str">
        <f t="shared" si="2"/>
        <v>15</v>
      </c>
      <c r="V55" s="9"/>
      <c r="W55" s="9"/>
      <c r="X55" s="9"/>
      <c r="Y55" s="9"/>
      <c r="Z55" s="9"/>
      <c r="AA55" s="9"/>
      <c r="AB55" s="9"/>
      <c r="AC55" s="9"/>
      <c r="AD55" s="9"/>
      <c r="AE55" s="9" t="str">
        <f t="shared" si="3"/>
        <v>IGO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</row>
    <row r="56" spans="1:66" x14ac:dyDescent="0.2">
      <c r="A56" s="4">
        <f t="shared" si="0"/>
        <v>0</v>
      </c>
      <c r="B56" s="4"/>
      <c r="C56" s="4"/>
      <c r="H56" s="2" t="str">
        <f t="shared" si="1"/>
        <v>Main</v>
      </c>
      <c r="K56" s="2" t="str">
        <f t="shared" si="4"/>
        <v>HGSC</v>
      </c>
      <c r="L56" s="9"/>
      <c r="M56" s="9"/>
      <c r="S56" s="9"/>
      <c r="T56" s="9"/>
      <c r="U56" s="9" t="str">
        <f t="shared" si="2"/>
        <v>15</v>
      </c>
      <c r="V56" s="9"/>
      <c r="W56" s="9"/>
      <c r="X56" s="9"/>
      <c r="Y56" s="9"/>
      <c r="Z56" s="9"/>
      <c r="AA56" s="9"/>
      <c r="AB56" s="9"/>
      <c r="AC56" s="9"/>
      <c r="AD56" s="9"/>
      <c r="AE56" s="9" t="str">
        <f t="shared" si="3"/>
        <v>IGO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</row>
    <row r="57" spans="1:66" x14ac:dyDescent="0.2">
      <c r="A57" s="4">
        <f t="shared" si="0"/>
        <v>0</v>
      </c>
      <c r="B57" s="4"/>
      <c r="C57" s="4"/>
      <c r="H57" s="2" t="str">
        <f t="shared" si="1"/>
        <v>Main</v>
      </c>
      <c r="K57" s="2" t="str">
        <f t="shared" si="4"/>
        <v>HGSC</v>
      </c>
      <c r="L57" s="9"/>
      <c r="M57" s="9"/>
      <c r="S57" s="9"/>
      <c r="T57" s="9"/>
      <c r="U57" s="9" t="str">
        <f t="shared" si="2"/>
        <v>15</v>
      </c>
      <c r="V57" s="9"/>
      <c r="W57" s="9"/>
      <c r="X57" s="9"/>
      <c r="Y57" s="9"/>
      <c r="Z57" s="9"/>
      <c r="AA57" s="9"/>
      <c r="AB57" s="9"/>
      <c r="AC57" s="9"/>
      <c r="AD57" s="9"/>
      <c r="AE57" s="9" t="str">
        <f t="shared" si="3"/>
        <v>IGO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</row>
    <row r="58" spans="1:66" x14ac:dyDescent="0.2">
      <c r="A58" s="4">
        <f t="shared" si="0"/>
        <v>0</v>
      </c>
      <c r="B58" s="4"/>
      <c r="C58" s="4"/>
      <c r="H58" s="2" t="str">
        <f t="shared" si="1"/>
        <v>Main</v>
      </c>
      <c r="K58" s="2" t="str">
        <f t="shared" si="4"/>
        <v>HGSC</v>
      </c>
      <c r="L58" s="9"/>
      <c r="M58" s="9"/>
      <c r="S58" s="9"/>
      <c r="T58" s="9"/>
      <c r="U58" s="9" t="str">
        <f t="shared" si="2"/>
        <v>15</v>
      </c>
      <c r="V58" s="9"/>
      <c r="W58" s="9"/>
      <c r="X58" s="9"/>
      <c r="Y58" s="9"/>
      <c r="Z58" s="9"/>
      <c r="AA58" s="9"/>
      <c r="AB58" s="9"/>
      <c r="AC58" s="9"/>
      <c r="AD58" s="9"/>
      <c r="AE58" s="9" t="str">
        <f t="shared" si="3"/>
        <v>IGO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</row>
    <row r="59" spans="1:66" x14ac:dyDescent="0.2">
      <c r="A59" s="4">
        <f t="shared" si="0"/>
        <v>0</v>
      </c>
      <c r="B59" s="4"/>
      <c r="C59" s="4"/>
      <c r="H59" s="2" t="str">
        <f t="shared" si="1"/>
        <v>Main</v>
      </c>
      <c r="K59" s="2" t="str">
        <f t="shared" si="4"/>
        <v>HGSC</v>
      </c>
      <c r="L59" s="9"/>
      <c r="M59" s="9"/>
      <c r="S59" s="9"/>
      <c r="T59" s="9"/>
      <c r="U59" s="9" t="str">
        <f t="shared" si="2"/>
        <v>15</v>
      </c>
      <c r="V59" s="9"/>
      <c r="W59" s="9"/>
      <c r="X59" s="9"/>
      <c r="Y59" s="9"/>
      <c r="Z59" s="9"/>
      <c r="AA59" s="9"/>
      <c r="AB59" s="9"/>
      <c r="AC59" s="9"/>
      <c r="AD59" s="9"/>
      <c r="AE59" s="9" t="str">
        <f t="shared" si="3"/>
        <v>IGO</v>
      </c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</row>
    <row r="60" spans="1:66" x14ac:dyDescent="0.2">
      <c r="A60" s="4">
        <f t="shared" si="0"/>
        <v>0</v>
      </c>
      <c r="B60" s="4"/>
      <c r="C60" s="4"/>
      <c r="H60" s="2" t="str">
        <f t="shared" si="1"/>
        <v>Main</v>
      </c>
      <c r="K60" s="2" t="str">
        <f t="shared" si="4"/>
        <v>HGSC</v>
      </c>
      <c r="L60" s="9"/>
      <c r="M60" s="9"/>
      <c r="S60" s="9"/>
      <c r="T60" s="9"/>
      <c r="U60" s="9" t="str">
        <f t="shared" si="2"/>
        <v>15</v>
      </c>
      <c r="V60" s="9"/>
      <c r="W60" s="9"/>
      <c r="X60" s="9"/>
      <c r="Y60" s="9"/>
      <c r="Z60" s="9"/>
      <c r="AA60" s="9"/>
      <c r="AB60" s="9"/>
      <c r="AC60" s="9"/>
      <c r="AD60" s="9"/>
      <c r="AE60" s="9" t="str">
        <f t="shared" si="3"/>
        <v>IGO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</row>
    <row r="61" spans="1:66" x14ac:dyDescent="0.2">
      <c r="A61" s="4">
        <f t="shared" si="0"/>
        <v>0</v>
      </c>
      <c r="B61" s="4"/>
      <c r="C61" s="4"/>
      <c r="H61" s="2" t="str">
        <f t="shared" si="1"/>
        <v>Main</v>
      </c>
      <c r="K61" s="2" t="str">
        <f t="shared" si="4"/>
        <v>HGSC</v>
      </c>
      <c r="L61" s="9"/>
      <c r="M61" s="9"/>
      <c r="S61" s="9"/>
      <c r="T61" s="9"/>
      <c r="U61" s="9" t="str">
        <f t="shared" si="2"/>
        <v>15</v>
      </c>
      <c r="V61" s="9"/>
      <c r="W61" s="9"/>
      <c r="X61" s="9"/>
      <c r="Y61" s="9"/>
      <c r="Z61" s="9"/>
      <c r="AA61" s="9"/>
      <c r="AB61" s="9"/>
      <c r="AC61" s="9"/>
      <c r="AD61" s="9"/>
      <c r="AE61" s="9" t="str">
        <f t="shared" si="3"/>
        <v>IGO</v>
      </c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</row>
    <row r="62" spans="1:66" x14ac:dyDescent="0.2">
      <c r="A62" s="4">
        <f t="shared" si="0"/>
        <v>0</v>
      </c>
      <c r="B62" s="4"/>
      <c r="C62" s="4"/>
      <c r="H62" s="2" t="str">
        <f t="shared" si="1"/>
        <v>Main</v>
      </c>
      <c r="K62" s="2" t="str">
        <f t="shared" si="4"/>
        <v>HGSC</v>
      </c>
      <c r="L62" s="9"/>
      <c r="M62" s="9"/>
      <c r="S62" s="9"/>
      <c r="T62" s="9"/>
      <c r="U62" s="9" t="str">
        <f t="shared" si="2"/>
        <v>15</v>
      </c>
      <c r="V62" s="9"/>
      <c r="W62" s="9"/>
      <c r="X62" s="9"/>
      <c r="Y62" s="9"/>
      <c r="Z62" s="9"/>
      <c r="AA62" s="9"/>
      <c r="AB62" s="9"/>
      <c r="AC62" s="9"/>
      <c r="AD62" s="9"/>
      <c r="AE62" s="9" t="str">
        <f t="shared" si="3"/>
        <v>IGO</v>
      </c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</row>
    <row r="63" spans="1:66" x14ac:dyDescent="0.2">
      <c r="A63" s="4">
        <f t="shared" si="0"/>
        <v>0</v>
      </c>
      <c r="B63" s="4"/>
      <c r="C63" s="4"/>
      <c r="H63" s="2" t="str">
        <f t="shared" si="1"/>
        <v>Main</v>
      </c>
      <c r="K63" s="2" t="str">
        <f t="shared" si="4"/>
        <v>HGSC</v>
      </c>
      <c r="L63" s="9"/>
      <c r="M63" s="9"/>
      <c r="S63" s="9"/>
      <c r="T63" s="9"/>
      <c r="U63" s="9" t="str">
        <f t="shared" si="2"/>
        <v>15</v>
      </c>
      <c r="V63" s="9"/>
      <c r="W63" s="9"/>
      <c r="X63" s="9"/>
      <c r="Y63" s="9"/>
      <c r="Z63" s="9"/>
      <c r="AA63" s="9"/>
      <c r="AB63" s="9"/>
      <c r="AC63" s="9"/>
      <c r="AD63" s="9"/>
      <c r="AE63" s="9" t="str">
        <f t="shared" si="3"/>
        <v>IGO</v>
      </c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</row>
    <row r="64" spans="1:66" x14ac:dyDescent="0.2">
      <c r="A64" s="4">
        <f t="shared" si="0"/>
        <v>0</v>
      </c>
      <c r="B64" s="4"/>
      <c r="C64" s="4"/>
      <c r="H64" s="2" t="str">
        <f t="shared" si="1"/>
        <v>Main</v>
      </c>
      <c r="K64" s="2" t="str">
        <f t="shared" si="4"/>
        <v>HGSC</v>
      </c>
      <c r="L64" s="9"/>
      <c r="M64" s="9"/>
      <c r="S64" s="9"/>
      <c r="T64" s="9"/>
      <c r="U64" s="9" t="str">
        <f t="shared" si="2"/>
        <v>15</v>
      </c>
      <c r="V64" s="9"/>
      <c r="W64" s="9"/>
      <c r="X64" s="9"/>
      <c r="Y64" s="9"/>
      <c r="Z64" s="9"/>
      <c r="AA64" s="9"/>
      <c r="AB64" s="9"/>
      <c r="AC64" s="9"/>
      <c r="AD64" s="9"/>
      <c r="AE64" s="9" t="str">
        <f t="shared" si="3"/>
        <v>IGO</v>
      </c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</row>
    <row r="65" spans="1:66" x14ac:dyDescent="0.2">
      <c r="A65" s="4">
        <f t="shared" si="0"/>
        <v>0</v>
      </c>
      <c r="B65" s="4"/>
      <c r="C65" s="4"/>
      <c r="H65" s="2" t="str">
        <f t="shared" si="1"/>
        <v>Main</v>
      </c>
      <c r="K65" s="2" t="str">
        <f t="shared" si="4"/>
        <v>HGSC</v>
      </c>
      <c r="L65" s="9"/>
      <c r="M65" s="9"/>
      <c r="S65" s="9"/>
      <c r="T65" s="9"/>
      <c r="U65" s="9" t="str">
        <f t="shared" si="2"/>
        <v>15</v>
      </c>
      <c r="V65" s="9"/>
      <c r="W65" s="9"/>
      <c r="X65" s="9"/>
      <c r="Y65" s="9"/>
      <c r="Z65" s="9"/>
      <c r="AA65" s="9"/>
      <c r="AB65" s="9"/>
      <c r="AC65" s="9"/>
      <c r="AD65" s="9"/>
      <c r="AE65" s="9" t="str">
        <f t="shared" si="3"/>
        <v>IGO</v>
      </c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</row>
    <row r="66" spans="1:66" x14ac:dyDescent="0.2">
      <c r="A66" s="4">
        <f t="shared" si="0"/>
        <v>0</v>
      </c>
      <c r="B66" s="4"/>
      <c r="C66" s="4"/>
      <c r="H66" s="2" t="str">
        <f t="shared" si="1"/>
        <v>Main</v>
      </c>
      <c r="K66" s="2" t="str">
        <f t="shared" si="4"/>
        <v>HGSC</v>
      </c>
      <c r="L66" s="9"/>
      <c r="M66" s="9"/>
      <c r="S66" s="9"/>
      <c r="T66" s="9"/>
      <c r="U66" s="9" t="str">
        <f t="shared" si="2"/>
        <v>15</v>
      </c>
      <c r="V66" s="9"/>
      <c r="W66" s="9"/>
      <c r="X66" s="9"/>
      <c r="Y66" s="9"/>
      <c r="Z66" s="9"/>
      <c r="AA66" s="9"/>
      <c r="AB66" s="9"/>
      <c r="AC66" s="9"/>
      <c r="AD66" s="9"/>
      <c r="AE66" s="9" t="str">
        <f t="shared" si="3"/>
        <v>IGO</v>
      </c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</row>
    <row r="67" spans="1:66" x14ac:dyDescent="0.2">
      <c r="A67" s="4">
        <f t="shared" si="0"/>
        <v>0</v>
      </c>
      <c r="B67" s="4"/>
      <c r="C67" s="4"/>
      <c r="H67" s="2" t="str">
        <f t="shared" si="1"/>
        <v>Main</v>
      </c>
      <c r="K67" s="2" t="str">
        <f t="shared" si="4"/>
        <v>HGSC</v>
      </c>
      <c r="L67" s="9"/>
      <c r="M67" s="9"/>
      <c r="S67" s="9"/>
      <c r="T67" s="9"/>
      <c r="U67" s="9" t="str">
        <f t="shared" si="2"/>
        <v>15</v>
      </c>
      <c r="V67" s="9"/>
      <c r="W67" s="9"/>
      <c r="X67" s="9"/>
      <c r="Y67" s="9"/>
      <c r="Z67" s="9"/>
      <c r="AA67" s="9"/>
      <c r="AB67" s="9"/>
      <c r="AC67" s="9"/>
      <c r="AD67" s="9"/>
      <c r="AE67" s="9" t="str">
        <f t="shared" si="3"/>
        <v>IGO</v>
      </c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</row>
    <row r="68" spans="1:66" x14ac:dyDescent="0.2">
      <c r="A68" s="4">
        <f t="shared" si="0"/>
        <v>0</v>
      </c>
      <c r="B68" s="4"/>
      <c r="C68" s="4"/>
      <c r="H68" s="2" t="str">
        <f t="shared" si="1"/>
        <v>Main</v>
      </c>
      <c r="K68" s="2" t="str">
        <f t="shared" si="4"/>
        <v>HGSC</v>
      </c>
      <c r="L68" s="9"/>
      <c r="M68" s="9"/>
      <c r="S68" s="9"/>
      <c r="T68" s="9"/>
      <c r="U68" s="9" t="str">
        <f t="shared" si="2"/>
        <v>15</v>
      </c>
      <c r="V68" s="9"/>
      <c r="W68" s="9"/>
      <c r="X68" s="9"/>
      <c r="Y68" s="9"/>
      <c r="Z68" s="9"/>
      <c r="AA68" s="9"/>
      <c r="AB68" s="9"/>
      <c r="AC68" s="9"/>
      <c r="AD68" s="9"/>
      <c r="AE68" s="9" t="str">
        <f t="shared" si="3"/>
        <v>IGO</v>
      </c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</row>
    <row r="69" spans="1:66" x14ac:dyDescent="0.2">
      <c r="A69" s="4">
        <f t="shared" si="0"/>
        <v>0</v>
      </c>
      <c r="B69" s="4"/>
      <c r="C69" s="4"/>
      <c r="H69" s="2" t="str">
        <f t="shared" si="1"/>
        <v>Main</v>
      </c>
      <c r="K69" s="2" t="str">
        <f t="shared" si="4"/>
        <v>HGSC</v>
      </c>
      <c r="L69" s="9"/>
      <c r="M69" s="9"/>
      <c r="S69" s="9"/>
      <c r="T69" s="9"/>
      <c r="U69" s="9" t="str">
        <f t="shared" si="2"/>
        <v>15</v>
      </c>
      <c r="V69" s="9"/>
      <c r="W69" s="9"/>
      <c r="X69" s="9"/>
      <c r="Y69" s="9"/>
      <c r="Z69" s="9"/>
      <c r="AA69" s="9"/>
      <c r="AB69" s="9"/>
      <c r="AC69" s="9"/>
      <c r="AD69" s="9"/>
      <c r="AE69" s="9" t="str">
        <f t="shared" si="3"/>
        <v>IGO</v>
      </c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</row>
    <row r="70" spans="1:66" x14ac:dyDescent="0.2">
      <c r="A70" s="4">
        <f t="shared" ref="A70:A104" si="5">D70</f>
        <v>0</v>
      </c>
      <c r="B70" s="4"/>
      <c r="C70" s="4"/>
      <c r="H70" s="2" t="str">
        <f t="shared" ref="H70:H104" si="6">IF($A$1="", "Main", "")</f>
        <v>Main</v>
      </c>
      <c r="K70" s="2" t="str">
        <f t="shared" ref="K70:K103" si="7">IF($A$1="", "HGSC")</f>
        <v>HGSC</v>
      </c>
      <c r="L70" s="9"/>
      <c r="M70" s="9"/>
      <c r="S70" s="9"/>
      <c r="T70" s="9"/>
      <c r="U70" s="9" t="str">
        <f t="shared" ref="U70:U104" si="8">IF($A$1="", "15")</f>
        <v>15</v>
      </c>
      <c r="V70" s="9"/>
      <c r="W70" s="9"/>
      <c r="X70" s="9"/>
      <c r="Y70" s="9"/>
      <c r="Z70" s="9"/>
      <c r="AA70" s="9"/>
      <c r="AB70" s="9"/>
      <c r="AC70" s="9"/>
      <c r="AD70" s="9"/>
      <c r="AE70" s="9" t="str">
        <f t="shared" ref="AE70:AE104" si="9">IF($A$1="", "IGO")</f>
        <v>IGO</v>
      </c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</row>
    <row r="71" spans="1:66" x14ac:dyDescent="0.2">
      <c r="A71" s="4">
        <f t="shared" si="5"/>
        <v>0</v>
      </c>
      <c r="B71" s="4"/>
      <c r="C71" s="4"/>
      <c r="H71" s="2" t="str">
        <f t="shared" si="6"/>
        <v>Main</v>
      </c>
      <c r="K71" s="2" t="str">
        <f t="shared" si="7"/>
        <v>HGSC</v>
      </c>
      <c r="L71" s="9"/>
      <c r="M71" s="9"/>
      <c r="S71" s="9"/>
      <c r="T71" s="9"/>
      <c r="U71" s="9" t="str">
        <f t="shared" si="8"/>
        <v>15</v>
      </c>
      <c r="V71" s="9"/>
      <c r="W71" s="9"/>
      <c r="X71" s="9"/>
      <c r="Y71" s="9"/>
      <c r="Z71" s="9"/>
      <c r="AA71" s="9"/>
      <c r="AB71" s="9"/>
      <c r="AC71" s="9"/>
      <c r="AD71" s="9"/>
      <c r="AE71" s="9" t="str">
        <f t="shared" si="9"/>
        <v>IGO</v>
      </c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</row>
    <row r="72" spans="1:66" x14ac:dyDescent="0.2">
      <c r="A72" s="4">
        <f t="shared" si="5"/>
        <v>0</v>
      </c>
      <c r="B72" s="4"/>
      <c r="C72" s="4"/>
      <c r="H72" s="2" t="str">
        <f t="shared" si="6"/>
        <v>Main</v>
      </c>
      <c r="K72" s="2" t="str">
        <f t="shared" si="7"/>
        <v>HGSC</v>
      </c>
      <c r="L72" s="9"/>
      <c r="M72" s="9"/>
      <c r="S72" s="9"/>
      <c r="T72" s="9"/>
      <c r="U72" s="9" t="str">
        <f t="shared" si="8"/>
        <v>15</v>
      </c>
      <c r="V72" s="9"/>
      <c r="W72" s="9"/>
      <c r="X72" s="9"/>
      <c r="Y72" s="9"/>
      <c r="Z72" s="9"/>
      <c r="AA72" s="9"/>
      <c r="AB72" s="9"/>
      <c r="AC72" s="9"/>
      <c r="AD72" s="9"/>
      <c r="AE72" s="9" t="str">
        <f t="shared" si="9"/>
        <v>IGO</v>
      </c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</row>
    <row r="73" spans="1:66" x14ac:dyDescent="0.2">
      <c r="A73" s="4">
        <f t="shared" si="5"/>
        <v>0</v>
      </c>
      <c r="B73" s="4"/>
      <c r="C73" s="4"/>
      <c r="H73" s="2" t="str">
        <f t="shared" si="6"/>
        <v>Main</v>
      </c>
      <c r="K73" s="2" t="str">
        <f t="shared" si="7"/>
        <v>HGSC</v>
      </c>
      <c r="L73" s="9"/>
      <c r="M73" s="9"/>
      <c r="S73" s="9"/>
      <c r="T73" s="9"/>
      <c r="U73" s="9" t="str">
        <f t="shared" si="8"/>
        <v>15</v>
      </c>
      <c r="V73" s="9"/>
      <c r="W73" s="9"/>
      <c r="X73" s="9"/>
      <c r="Y73" s="9"/>
      <c r="Z73" s="9"/>
      <c r="AA73" s="9"/>
      <c r="AB73" s="9"/>
      <c r="AC73" s="9"/>
      <c r="AD73" s="9"/>
      <c r="AE73" s="9" t="str">
        <f t="shared" si="9"/>
        <v>IGO</v>
      </c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</row>
    <row r="74" spans="1:66" x14ac:dyDescent="0.2">
      <c r="A74" s="4">
        <f t="shared" si="5"/>
        <v>0</v>
      </c>
      <c r="B74" s="4"/>
      <c r="C74" s="4"/>
      <c r="H74" s="2" t="str">
        <f t="shared" si="6"/>
        <v>Main</v>
      </c>
      <c r="K74" s="2" t="str">
        <f t="shared" si="7"/>
        <v>HGSC</v>
      </c>
      <c r="L74" s="9"/>
      <c r="M74" s="9"/>
      <c r="S74" s="9"/>
      <c r="T74" s="9"/>
      <c r="U74" s="9" t="str">
        <f t="shared" si="8"/>
        <v>15</v>
      </c>
      <c r="V74" s="9"/>
      <c r="W74" s="9"/>
      <c r="X74" s="9"/>
      <c r="Y74" s="9"/>
      <c r="Z74" s="9"/>
      <c r="AA74" s="9"/>
      <c r="AB74" s="9"/>
      <c r="AC74" s="9"/>
      <c r="AD74" s="9"/>
      <c r="AE74" s="9" t="str">
        <f t="shared" si="9"/>
        <v>IGO</v>
      </c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</row>
    <row r="75" spans="1:66" x14ac:dyDescent="0.2">
      <c r="A75" s="4">
        <f t="shared" si="5"/>
        <v>0</v>
      </c>
      <c r="B75" s="4"/>
      <c r="C75" s="4"/>
      <c r="H75" s="2" t="str">
        <f t="shared" si="6"/>
        <v>Main</v>
      </c>
      <c r="K75" s="2" t="str">
        <f t="shared" si="7"/>
        <v>HGSC</v>
      </c>
      <c r="L75" s="9"/>
      <c r="M75" s="9"/>
      <c r="S75" s="9"/>
      <c r="T75" s="9"/>
      <c r="U75" s="9" t="str">
        <f t="shared" si="8"/>
        <v>15</v>
      </c>
      <c r="V75" s="9"/>
      <c r="W75" s="9"/>
      <c r="X75" s="9"/>
      <c r="Y75" s="9"/>
      <c r="Z75" s="9"/>
      <c r="AA75" s="9"/>
      <c r="AB75" s="9"/>
      <c r="AC75" s="9"/>
      <c r="AD75" s="9"/>
      <c r="AE75" s="9" t="str">
        <f t="shared" si="9"/>
        <v>IGO</v>
      </c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</row>
    <row r="76" spans="1:66" x14ac:dyDescent="0.2">
      <c r="A76" s="4">
        <f t="shared" si="5"/>
        <v>0</v>
      </c>
      <c r="B76" s="4"/>
      <c r="C76" s="4"/>
      <c r="H76" s="2" t="str">
        <f t="shared" si="6"/>
        <v>Main</v>
      </c>
      <c r="K76" s="2" t="str">
        <f t="shared" si="7"/>
        <v>HGSC</v>
      </c>
      <c r="L76" s="9"/>
      <c r="M76" s="9"/>
      <c r="S76" s="9"/>
      <c r="T76" s="9"/>
      <c r="U76" s="9" t="str">
        <f t="shared" si="8"/>
        <v>15</v>
      </c>
      <c r="V76" s="9"/>
      <c r="W76" s="9"/>
      <c r="X76" s="9"/>
      <c r="Y76" s="9"/>
      <c r="Z76" s="9"/>
      <c r="AA76" s="9"/>
      <c r="AB76" s="9"/>
      <c r="AC76" s="9"/>
      <c r="AD76" s="9"/>
      <c r="AE76" s="9" t="str">
        <f t="shared" si="9"/>
        <v>IGO</v>
      </c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</row>
    <row r="77" spans="1:66" x14ac:dyDescent="0.2">
      <c r="A77" s="4">
        <f t="shared" si="5"/>
        <v>0</v>
      </c>
      <c r="B77" s="4"/>
      <c r="C77" s="4"/>
      <c r="H77" s="2" t="str">
        <f t="shared" si="6"/>
        <v>Main</v>
      </c>
      <c r="K77" s="2" t="str">
        <f t="shared" si="7"/>
        <v>HGSC</v>
      </c>
      <c r="L77" s="9"/>
      <c r="M77" s="9"/>
      <c r="S77" s="9"/>
      <c r="T77" s="9"/>
      <c r="U77" s="9" t="str">
        <f t="shared" si="8"/>
        <v>15</v>
      </c>
      <c r="V77" s="9"/>
      <c r="W77" s="9"/>
      <c r="X77" s="9"/>
      <c r="Y77" s="9"/>
      <c r="Z77" s="9"/>
      <c r="AA77" s="9"/>
      <c r="AB77" s="9"/>
      <c r="AC77" s="9"/>
      <c r="AD77" s="9"/>
      <c r="AE77" s="9" t="str">
        <f t="shared" si="9"/>
        <v>IGO</v>
      </c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</row>
    <row r="78" spans="1:66" x14ac:dyDescent="0.2">
      <c r="A78" s="4">
        <f t="shared" si="5"/>
        <v>0</v>
      </c>
      <c r="B78" s="4"/>
      <c r="C78" s="4"/>
      <c r="H78" s="2" t="str">
        <f t="shared" si="6"/>
        <v>Main</v>
      </c>
      <c r="K78" s="2" t="str">
        <f t="shared" si="7"/>
        <v>HGSC</v>
      </c>
      <c r="L78" s="9"/>
      <c r="M78" s="9"/>
      <c r="S78" s="9"/>
      <c r="T78" s="9"/>
      <c r="U78" s="9" t="str">
        <f t="shared" si="8"/>
        <v>15</v>
      </c>
      <c r="V78" s="9"/>
      <c r="W78" s="9"/>
      <c r="X78" s="9"/>
      <c r="Y78" s="9"/>
      <c r="Z78" s="9"/>
      <c r="AA78" s="9"/>
      <c r="AB78" s="9"/>
      <c r="AC78" s="9"/>
      <c r="AD78" s="9"/>
      <c r="AE78" s="9" t="str">
        <f t="shared" si="9"/>
        <v>IGO</v>
      </c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</row>
    <row r="79" spans="1:66" x14ac:dyDescent="0.2">
      <c r="A79" s="4">
        <f t="shared" si="5"/>
        <v>0</v>
      </c>
      <c r="B79" s="4"/>
      <c r="C79" s="4"/>
      <c r="H79" s="2" t="str">
        <f t="shared" si="6"/>
        <v>Main</v>
      </c>
      <c r="K79" s="2" t="str">
        <f t="shared" si="7"/>
        <v>HGSC</v>
      </c>
      <c r="L79" s="9"/>
      <c r="M79" s="9"/>
      <c r="S79" s="9"/>
      <c r="T79" s="9"/>
      <c r="U79" s="9" t="str">
        <f t="shared" si="8"/>
        <v>15</v>
      </c>
      <c r="V79" s="9"/>
      <c r="W79" s="9"/>
      <c r="X79" s="9"/>
      <c r="Y79" s="9"/>
      <c r="Z79" s="9"/>
      <c r="AA79" s="9"/>
      <c r="AB79" s="9"/>
      <c r="AC79" s="9"/>
      <c r="AD79" s="9"/>
      <c r="AE79" s="9" t="str">
        <f t="shared" si="9"/>
        <v>IGO</v>
      </c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</row>
    <row r="80" spans="1:66" x14ac:dyDescent="0.2">
      <c r="A80" s="4">
        <f t="shared" si="5"/>
        <v>0</v>
      </c>
      <c r="B80" s="4"/>
      <c r="C80" s="4"/>
      <c r="H80" s="2" t="str">
        <f t="shared" si="6"/>
        <v>Main</v>
      </c>
      <c r="K80" s="2" t="str">
        <f t="shared" si="7"/>
        <v>HGSC</v>
      </c>
      <c r="L80" s="9"/>
      <c r="M80" s="9"/>
      <c r="S80" s="9"/>
      <c r="T80" s="9"/>
      <c r="U80" s="9" t="str">
        <f t="shared" si="8"/>
        <v>15</v>
      </c>
      <c r="V80" s="9"/>
      <c r="W80" s="9"/>
      <c r="X80" s="9"/>
      <c r="Y80" s="9"/>
      <c r="Z80" s="9"/>
      <c r="AA80" s="9"/>
      <c r="AB80" s="9"/>
      <c r="AC80" s="9"/>
      <c r="AD80" s="9"/>
      <c r="AE80" s="9" t="str">
        <f t="shared" si="9"/>
        <v>IGO</v>
      </c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</row>
    <row r="81" spans="1:66" x14ac:dyDescent="0.2">
      <c r="A81" s="4">
        <f t="shared" si="5"/>
        <v>0</v>
      </c>
      <c r="B81" s="4"/>
      <c r="C81" s="4"/>
      <c r="H81" s="2" t="str">
        <f t="shared" si="6"/>
        <v>Main</v>
      </c>
      <c r="K81" s="2" t="str">
        <f t="shared" si="7"/>
        <v>HGSC</v>
      </c>
      <c r="L81" s="9"/>
      <c r="M81" s="9"/>
      <c r="S81" s="9"/>
      <c r="T81" s="9"/>
      <c r="U81" s="9" t="str">
        <f t="shared" si="8"/>
        <v>15</v>
      </c>
      <c r="V81" s="9"/>
      <c r="W81" s="9"/>
      <c r="X81" s="9"/>
      <c r="Y81" s="9"/>
      <c r="Z81" s="9"/>
      <c r="AA81" s="9"/>
      <c r="AB81" s="9"/>
      <c r="AC81" s="9"/>
      <c r="AD81" s="9"/>
      <c r="AE81" s="9" t="str">
        <f t="shared" si="9"/>
        <v>IGO</v>
      </c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</row>
    <row r="82" spans="1:66" x14ac:dyDescent="0.2">
      <c r="A82" s="4">
        <f t="shared" si="5"/>
        <v>0</v>
      </c>
      <c r="B82" s="4"/>
      <c r="C82" s="4"/>
      <c r="H82" s="2" t="str">
        <f t="shared" si="6"/>
        <v>Main</v>
      </c>
      <c r="K82" s="2" t="str">
        <f t="shared" si="7"/>
        <v>HGSC</v>
      </c>
      <c r="L82" s="9"/>
      <c r="M82" s="9"/>
      <c r="S82" s="9"/>
      <c r="T82" s="9"/>
      <c r="U82" s="9" t="str">
        <f t="shared" si="8"/>
        <v>15</v>
      </c>
      <c r="V82" s="9"/>
      <c r="W82" s="9"/>
      <c r="X82" s="9"/>
      <c r="Y82" s="9"/>
      <c r="Z82" s="9"/>
      <c r="AA82" s="9"/>
      <c r="AB82" s="9"/>
      <c r="AC82" s="9"/>
      <c r="AD82" s="9"/>
      <c r="AE82" s="9" t="str">
        <f t="shared" si="9"/>
        <v>IGO</v>
      </c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</row>
    <row r="83" spans="1:66" x14ac:dyDescent="0.2">
      <c r="A83" s="4">
        <f t="shared" si="5"/>
        <v>0</v>
      </c>
      <c r="B83" s="4"/>
      <c r="C83" s="4"/>
      <c r="H83" s="2" t="str">
        <f t="shared" si="6"/>
        <v>Main</v>
      </c>
      <c r="K83" s="2" t="str">
        <f t="shared" si="7"/>
        <v>HGSC</v>
      </c>
      <c r="L83" s="9"/>
      <c r="M83" s="9"/>
      <c r="S83" s="9"/>
      <c r="T83" s="9"/>
      <c r="U83" s="9" t="str">
        <f t="shared" si="8"/>
        <v>15</v>
      </c>
      <c r="V83" s="9"/>
      <c r="W83" s="9"/>
      <c r="X83" s="9"/>
      <c r="Y83" s="9"/>
      <c r="Z83" s="9"/>
      <c r="AA83" s="9"/>
      <c r="AB83" s="9"/>
      <c r="AC83" s="9"/>
      <c r="AD83" s="9"/>
      <c r="AE83" s="9" t="str">
        <f t="shared" si="9"/>
        <v>IGO</v>
      </c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</row>
    <row r="84" spans="1:66" x14ac:dyDescent="0.2">
      <c r="A84" s="4">
        <f t="shared" si="5"/>
        <v>0</v>
      </c>
      <c r="B84" s="4"/>
      <c r="C84" s="4"/>
      <c r="H84" s="2" t="str">
        <f t="shared" si="6"/>
        <v>Main</v>
      </c>
      <c r="K84" s="2" t="str">
        <f t="shared" si="7"/>
        <v>HGSC</v>
      </c>
      <c r="L84" s="9"/>
      <c r="M84" s="9"/>
      <c r="S84" s="9"/>
      <c r="T84" s="9"/>
      <c r="U84" s="9" t="str">
        <f t="shared" si="8"/>
        <v>15</v>
      </c>
      <c r="V84" s="9"/>
      <c r="W84" s="9"/>
      <c r="X84" s="9"/>
      <c r="Y84" s="9"/>
      <c r="Z84" s="9"/>
      <c r="AA84" s="9"/>
      <c r="AB84" s="9"/>
      <c r="AC84" s="9"/>
      <c r="AD84" s="9"/>
      <c r="AE84" s="9" t="str">
        <f t="shared" si="9"/>
        <v>IGO</v>
      </c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</row>
    <row r="85" spans="1:66" x14ac:dyDescent="0.2">
      <c r="A85" s="4">
        <f t="shared" si="5"/>
        <v>0</v>
      </c>
      <c r="B85" s="4"/>
      <c r="C85" s="4"/>
      <c r="H85" s="2" t="str">
        <f t="shared" si="6"/>
        <v>Main</v>
      </c>
      <c r="K85" s="2" t="str">
        <f t="shared" si="7"/>
        <v>HGSC</v>
      </c>
      <c r="L85" s="9"/>
      <c r="M85" s="9"/>
      <c r="S85" s="9"/>
      <c r="T85" s="9"/>
      <c r="U85" s="9" t="str">
        <f t="shared" si="8"/>
        <v>15</v>
      </c>
      <c r="V85" s="9"/>
      <c r="W85" s="9"/>
      <c r="X85" s="9"/>
      <c r="Y85" s="9"/>
      <c r="Z85" s="9"/>
      <c r="AA85" s="9"/>
      <c r="AB85" s="9"/>
      <c r="AC85" s="9"/>
      <c r="AD85" s="9"/>
      <c r="AE85" s="9" t="str">
        <f t="shared" si="9"/>
        <v>IGO</v>
      </c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</row>
    <row r="86" spans="1:66" x14ac:dyDescent="0.2">
      <c r="A86" s="4">
        <f t="shared" si="5"/>
        <v>0</v>
      </c>
      <c r="B86" s="4"/>
      <c r="C86" s="4"/>
      <c r="H86" s="2" t="str">
        <f t="shared" si="6"/>
        <v>Main</v>
      </c>
      <c r="K86" s="2" t="str">
        <f t="shared" si="7"/>
        <v>HGSC</v>
      </c>
      <c r="L86" s="9"/>
      <c r="M86" s="9"/>
      <c r="S86" s="9"/>
      <c r="T86" s="9"/>
      <c r="U86" s="9" t="str">
        <f t="shared" si="8"/>
        <v>15</v>
      </c>
      <c r="V86" s="9"/>
      <c r="W86" s="9"/>
      <c r="X86" s="9"/>
      <c r="Y86" s="9"/>
      <c r="Z86" s="9"/>
      <c r="AA86" s="9"/>
      <c r="AB86" s="9"/>
      <c r="AC86" s="9"/>
      <c r="AD86" s="9"/>
      <c r="AE86" s="9" t="str">
        <f t="shared" si="9"/>
        <v>IGO</v>
      </c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</row>
    <row r="87" spans="1:66" x14ac:dyDescent="0.2">
      <c r="A87" s="4">
        <f t="shared" si="5"/>
        <v>0</v>
      </c>
      <c r="B87" s="4"/>
      <c r="C87" s="4"/>
      <c r="H87" s="2" t="str">
        <f t="shared" si="6"/>
        <v>Main</v>
      </c>
      <c r="K87" s="2" t="str">
        <f t="shared" si="7"/>
        <v>HGSC</v>
      </c>
      <c r="L87" s="9"/>
      <c r="M87" s="9"/>
      <c r="S87" s="9"/>
      <c r="T87" s="9"/>
      <c r="U87" s="9" t="str">
        <f t="shared" si="8"/>
        <v>15</v>
      </c>
      <c r="V87" s="9"/>
      <c r="W87" s="9"/>
      <c r="X87" s="9"/>
      <c r="Y87" s="9"/>
      <c r="Z87" s="9"/>
      <c r="AA87" s="9"/>
      <c r="AB87" s="9"/>
      <c r="AC87" s="9"/>
      <c r="AD87" s="9"/>
      <c r="AE87" s="9" t="str">
        <f t="shared" si="9"/>
        <v>IGO</v>
      </c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</row>
    <row r="88" spans="1:66" x14ac:dyDescent="0.2">
      <c r="A88" s="4">
        <f t="shared" si="5"/>
        <v>0</v>
      </c>
      <c r="B88" s="4"/>
      <c r="C88" s="4"/>
      <c r="H88" s="2" t="str">
        <f t="shared" si="6"/>
        <v>Main</v>
      </c>
      <c r="K88" s="2" t="str">
        <f t="shared" si="7"/>
        <v>HGSC</v>
      </c>
      <c r="L88" s="9"/>
      <c r="M88" s="9"/>
      <c r="S88" s="9"/>
      <c r="T88" s="9"/>
      <c r="U88" s="9" t="str">
        <f t="shared" si="8"/>
        <v>15</v>
      </c>
      <c r="V88" s="9"/>
      <c r="W88" s="9"/>
      <c r="X88" s="9"/>
      <c r="Y88" s="9"/>
      <c r="Z88" s="9"/>
      <c r="AA88" s="9"/>
      <c r="AB88" s="9"/>
      <c r="AC88" s="9"/>
      <c r="AD88" s="9"/>
      <c r="AE88" s="9" t="str">
        <f t="shared" si="9"/>
        <v>IGO</v>
      </c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</row>
    <row r="89" spans="1:66" x14ac:dyDescent="0.2">
      <c r="A89" s="4">
        <f t="shared" si="5"/>
        <v>0</v>
      </c>
      <c r="B89" s="4"/>
      <c r="C89" s="4"/>
      <c r="H89" s="2" t="str">
        <f t="shared" si="6"/>
        <v>Main</v>
      </c>
      <c r="K89" s="2" t="str">
        <f t="shared" si="7"/>
        <v>HGSC</v>
      </c>
      <c r="L89" s="9"/>
      <c r="M89" s="9"/>
      <c r="S89" s="9"/>
      <c r="T89" s="9"/>
      <c r="U89" s="9" t="str">
        <f t="shared" si="8"/>
        <v>15</v>
      </c>
      <c r="V89" s="9"/>
      <c r="W89" s="9"/>
      <c r="X89" s="9"/>
      <c r="Y89" s="9"/>
      <c r="Z89" s="9"/>
      <c r="AA89" s="9"/>
      <c r="AB89" s="9"/>
      <c r="AC89" s="9"/>
      <c r="AD89" s="9"/>
      <c r="AE89" s="9" t="str">
        <f t="shared" si="9"/>
        <v>IGO</v>
      </c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</row>
    <row r="90" spans="1:66" x14ac:dyDescent="0.2">
      <c r="A90" s="4">
        <f t="shared" si="5"/>
        <v>0</v>
      </c>
      <c r="B90" s="4"/>
      <c r="C90" s="4"/>
      <c r="D90" s="2">
        <v>0</v>
      </c>
      <c r="H90" s="2" t="str">
        <f t="shared" si="6"/>
        <v>Main</v>
      </c>
      <c r="K90" s="2" t="str">
        <f t="shared" si="7"/>
        <v>HGSC</v>
      </c>
      <c r="L90" s="9"/>
      <c r="M90" s="9"/>
      <c r="S90" s="9"/>
      <c r="T90" s="9"/>
      <c r="U90" s="9" t="str">
        <f t="shared" si="8"/>
        <v>15</v>
      </c>
      <c r="V90" s="9"/>
      <c r="W90" s="9"/>
      <c r="X90" s="9"/>
      <c r="Y90" s="9"/>
      <c r="Z90" s="9"/>
      <c r="AA90" s="9"/>
      <c r="AB90" s="9"/>
      <c r="AC90" s="9"/>
      <c r="AD90" s="9"/>
      <c r="AE90" s="9" t="str">
        <f t="shared" si="9"/>
        <v>IGO</v>
      </c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</row>
    <row r="91" spans="1:66" x14ac:dyDescent="0.2">
      <c r="A91" s="4">
        <f t="shared" si="5"/>
        <v>0</v>
      </c>
      <c r="B91" s="4"/>
      <c r="C91" s="4"/>
      <c r="H91" s="2" t="str">
        <f t="shared" si="6"/>
        <v>Main</v>
      </c>
      <c r="K91" s="2" t="str">
        <f t="shared" si="7"/>
        <v>HGSC</v>
      </c>
      <c r="L91" s="9"/>
      <c r="M91" s="9"/>
      <c r="S91" s="9"/>
      <c r="T91" s="9"/>
      <c r="U91" s="9" t="str">
        <f t="shared" si="8"/>
        <v>15</v>
      </c>
      <c r="V91" s="9"/>
      <c r="W91" s="9"/>
      <c r="X91" s="9"/>
      <c r="Y91" s="9"/>
      <c r="Z91" s="9"/>
      <c r="AA91" s="9"/>
      <c r="AB91" s="9"/>
      <c r="AC91" s="9"/>
      <c r="AD91" s="9"/>
      <c r="AE91" s="9" t="str">
        <f t="shared" si="9"/>
        <v>IGO</v>
      </c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</row>
    <row r="92" spans="1:66" x14ac:dyDescent="0.2">
      <c r="A92" s="4">
        <f t="shared" si="5"/>
        <v>0</v>
      </c>
      <c r="B92" s="4"/>
      <c r="C92" s="4"/>
      <c r="H92" s="2" t="str">
        <f t="shared" si="6"/>
        <v>Main</v>
      </c>
      <c r="K92" s="2" t="str">
        <f t="shared" si="7"/>
        <v>HGSC</v>
      </c>
      <c r="L92" s="9"/>
      <c r="M92" s="9"/>
      <c r="S92" s="9"/>
      <c r="T92" s="9"/>
      <c r="U92" s="9" t="str">
        <f t="shared" si="8"/>
        <v>15</v>
      </c>
      <c r="V92" s="9"/>
      <c r="W92" s="9"/>
      <c r="X92" s="9"/>
      <c r="Y92" s="9"/>
      <c r="Z92" s="9"/>
      <c r="AA92" s="9"/>
      <c r="AB92" s="9"/>
      <c r="AC92" s="9"/>
      <c r="AD92" s="9"/>
      <c r="AE92" s="9" t="str">
        <f t="shared" si="9"/>
        <v>IGO</v>
      </c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</row>
    <row r="93" spans="1:66" x14ac:dyDescent="0.2">
      <c r="A93" s="4">
        <f t="shared" si="5"/>
        <v>0</v>
      </c>
      <c r="B93" s="4"/>
      <c r="C93" s="4"/>
      <c r="H93" s="2" t="str">
        <f t="shared" si="6"/>
        <v>Main</v>
      </c>
      <c r="K93" s="2" t="str">
        <f t="shared" si="7"/>
        <v>HGSC</v>
      </c>
      <c r="L93" s="9"/>
      <c r="M93" s="9"/>
      <c r="S93" s="9"/>
      <c r="T93" s="9"/>
      <c r="U93" s="9" t="str">
        <f t="shared" si="8"/>
        <v>15</v>
      </c>
      <c r="V93" s="9"/>
      <c r="W93" s="9"/>
      <c r="X93" s="9"/>
      <c r="Y93" s="9"/>
      <c r="Z93" s="9"/>
      <c r="AA93" s="9"/>
      <c r="AB93" s="9"/>
      <c r="AC93" s="9"/>
      <c r="AD93" s="9"/>
      <c r="AE93" s="9" t="str">
        <f t="shared" si="9"/>
        <v>IGO</v>
      </c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</row>
    <row r="94" spans="1:66" x14ac:dyDescent="0.2">
      <c r="A94" s="4">
        <f t="shared" si="5"/>
        <v>0</v>
      </c>
      <c r="B94" s="4"/>
      <c r="C94" s="4"/>
      <c r="H94" s="2" t="str">
        <f t="shared" si="6"/>
        <v>Main</v>
      </c>
      <c r="K94" s="2" t="str">
        <f t="shared" si="7"/>
        <v>HGSC</v>
      </c>
      <c r="L94" s="9"/>
      <c r="M94" s="9"/>
      <c r="S94" s="9"/>
      <c r="T94" s="9"/>
      <c r="U94" s="9" t="str">
        <f t="shared" si="8"/>
        <v>15</v>
      </c>
      <c r="V94" s="9"/>
      <c r="W94" s="9"/>
      <c r="X94" s="9"/>
      <c r="Y94" s="9"/>
      <c r="Z94" s="9"/>
      <c r="AA94" s="9"/>
      <c r="AB94" s="9"/>
      <c r="AC94" s="9"/>
      <c r="AD94" s="9"/>
      <c r="AE94" s="9" t="str">
        <f t="shared" si="9"/>
        <v>IGO</v>
      </c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</row>
    <row r="95" spans="1:66" x14ac:dyDescent="0.2">
      <c r="A95" s="4">
        <f t="shared" si="5"/>
        <v>0</v>
      </c>
      <c r="B95" s="4"/>
      <c r="C95" s="4"/>
      <c r="H95" s="2" t="str">
        <f t="shared" si="6"/>
        <v>Main</v>
      </c>
      <c r="K95" s="2" t="str">
        <f t="shared" si="7"/>
        <v>HGSC</v>
      </c>
      <c r="L95" s="9"/>
      <c r="M95" s="9"/>
      <c r="S95" s="9"/>
      <c r="T95" s="9"/>
      <c r="U95" s="9" t="str">
        <f t="shared" si="8"/>
        <v>15</v>
      </c>
      <c r="V95" s="9"/>
      <c r="W95" s="9"/>
      <c r="X95" s="9"/>
      <c r="Y95" s="9"/>
      <c r="Z95" s="9"/>
      <c r="AA95" s="9"/>
      <c r="AB95" s="9"/>
      <c r="AC95" s="9"/>
      <c r="AD95" s="9"/>
      <c r="AE95" s="9" t="str">
        <f t="shared" si="9"/>
        <v>IGO</v>
      </c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</row>
    <row r="96" spans="1:66" x14ac:dyDescent="0.2">
      <c r="A96" s="4">
        <f t="shared" si="5"/>
        <v>0</v>
      </c>
      <c r="B96" s="4"/>
      <c r="C96" s="4"/>
      <c r="H96" s="2" t="str">
        <f t="shared" si="6"/>
        <v>Main</v>
      </c>
      <c r="K96" s="2" t="str">
        <f t="shared" si="7"/>
        <v>HGSC</v>
      </c>
      <c r="L96" s="9"/>
      <c r="M96" s="9"/>
      <c r="S96" s="9"/>
      <c r="T96" s="9"/>
      <c r="U96" s="9" t="str">
        <f t="shared" si="8"/>
        <v>15</v>
      </c>
      <c r="V96" s="9"/>
      <c r="W96" s="9"/>
      <c r="X96" s="9"/>
      <c r="Y96" s="9"/>
      <c r="Z96" s="9"/>
      <c r="AA96" s="9"/>
      <c r="AB96" s="9"/>
      <c r="AC96" s="9"/>
      <c r="AD96" s="9"/>
      <c r="AE96" s="9" t="str">
        <f t="shared" si="9"/>
        <v>IGO</v>
      </c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</row>
    <row r="97" spans="1:66" x14ac:dyDescent="0.2">
      <c r="A97" s="4">
        <f t="shared" si="5"/>
        <v>0</v>
      </c>
      <c r="B97" s="4"/>
      <c r="C97" s="4"/>
      <c r="H97" s="2" t="str">
        <f t="shared" si="6"/>
        <v>Main</v>
      </c>
      <c r="K97" s="2" t="str">
        <f t="shared" si="7"/>
        <v>HGSC</v>
      </c>
      <c r="L97" s="9"/>
      <c r="M97" s="9"/>
      <c r="S97" s="9"/>
      <c r="T97" s="9"/>
      <c r="U97" s="9" t="str">
        <f t="shared" si="8"/>
        <v>15</v>
      </c>
      <c r="V97" s="9"/>
      <c r="W97" s="9"/>
      <c r="X97" s="9"/>
      <c r="Y97" s="9"/>
      <c r="Z97" s="9"/>
      <c r="AA97" s="9"/>
      <c r="AB97" s="9"/>
      <c r="AC97" s="9"/>
      <c r="AD97" s="9"/>
      <c r="AE97" s="9" t="str">
        <f t="shared" si="9"/>
        <v>IGO</v>
      </c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</row>
    <row r="98" spans="1:66" x14ac:dyDescent="0.2">
      <c r="A98" s="4">
        <f t="shared" si="5"/>
        <v>0</v>
      </c>
      <c r="B98" s="4"/>
      <c r="C98" s="4"/>
      <c r="H98" s="2" t="str">
        <f t="shared" si="6"/>
        <v>Main</v>
      </c>
      <c r="K98" s="2" t="str">
        <f t="shared" si="7"/>
        <v>HGSC</v>
      </c>
      <c r="L98" s="9"/>
      <c r="M98" s="9"/>
      <c r="S98" s="9"/>
      <c r="T98" s="9"/>
      <c r="U98" s="9" t="str">
        <f t="shared" si="8"/>
        <v>15</v>
      </c>
      <c r="V98" s="9"/>
      <c r="W98" s="9"/>
      <c r="X98" s="9"/>
      <c r="Y98" s="9"/>
      <c r="Z98" s="9"/>
      <c r="AA98" s="9"/>
      <c r="AB98" s="9"/>
      <c r="AC98" s="9"/>
      <c r="AD98" s="9"/>
      <c r="AE98" s="9" t="str">
        <f t="shared" si="9"/>
        <v>IGO</v>
      </c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</row>
    <row r="99" spans="1:66" x14ac:dyDescent="0.2">
      <c r="A99" s="4">
        <f t="shared" si="5"/>
        <v>0</v>
      </c>
      <c r="B99" s="4"/>
      <c r="C99" s="4"/>
      <c r="H99" s="2" t="str">
        <f t="shared" si="6"/>
        <v>Main</v>
      </c>
      <c r="K99" s="2" t="str">
        <f t="shared" si="7"/>
        <v>HGSC</v>
      </c>
      <c r="L99" s="9"/>
      <c r="M99" s="9"/>
      <c r="S99" s="9"/>
      <c r="T99" s="9"/>
      <c r="U99" s="9" t="str">
        <f t="shared" si="8"/>
        <v>15</v>
      </c>
      <c r="V99" s="9"/>
      <c r="W99" s="9"/>
      <c r="X99" s="9"/>
      <c r="Y99" s="9"/>
      <c r="Z99" s="9"/>
      <c r="AA99" s="9"/>
      <c r="AB99" s="9"/>
      <c r="AC99" s="9"/>
      <c r="AD99" s="9"/>
      <c r="AE99" s="9" t="str">
        <f t="shared" si="9"/>
        <v>IGO</v>
      </c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</row>
    <row r="100" spans="1:66" x14ac:dyDescent="0.2">
      <c r="A100" s="4">
        <f t="shared" si="5"/>
        <v>0</v>
      </c>
      <c r="B100" s="4"/>
      <c r="C100" s="4"/>
      <c r="H100" s="2" t="str">
        <f t="shared" si="6"/>
        <v>Main</v>
      </c>
      <c r="K100" s="2" t="str">
        <f t="shared" si="7"/>
        <v>HGSC</v>
      </c>
      <c r="L100" s="9"/>
      <c r="M100" s="9"/>
      <c r="S100" s="9"/>
      <c r="T100" s="9"/>
      <c r="U100" s="9" t="str">
        <f t="shared" si="8"/>
        <v>15</v>
      </c>
      <c r="V100" s="9"/>
      <c r="W100" s="9"/>
      <c r="X100" s="9"/>
      <c r="Y100" s="9"/>
      <c r="Z100" s="9"/>
      <c r="AA100" s="9"/>
      <c r="AB100" s="9"/>
      <c r="AC100" s="9"/>
      <c r="AD100" s="9"/>
      <c r="AE100" s="9" t="str">
        <f t="shared" si="9"/>
        <v>IGO</v>
      </c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</row>
    <row r="101" spans="1:66" x14ac:dyDescent="0.2">
      <c r="A101" s="4">
        <f t="shared" si="5"/>
        <v>0</v>
      </c>
      <c r="B101" s="4"/>
      <c r="C101" s="4"/>
      <c r="H101" s="2" t="str">
        <f t="shared" si="6"/>
        <v>Main</v>
      </c>
      <c r="K101" s="2" t="str">
        <f t="shared" si="7"/>
        <v>HGSC</v>
      </c>
      <c r="L101" s="9"/>
      <c r="M101" s="9"/>
      <c r="S101" s="9"/>
      <c r="T101" s="9"/>
      <c r="U101" s="9" t="str">
        <f t="shared" si="8"/>
        <v>15</v>
      </c>
      <c r="V101" s="9"/>
      <c r="W101" s="9"/>
      <c r="X101" s="9"/>
      <c r="Y101" s="9"/>
      <c r="Z101" s="9"/>
      <c r="AA101" s="9"/>
      <c r="AB101" s="9"/>
      <c r="AC101" s="9"/>
      <c r="AD101" s="9"/>
      <c r="AE101" s="9" t="str">
        <f t="shared" si="9"/>
        <v>IGO</v>
      </c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</row>
    <row r="102" spans="1:66" x14ac:dyDescent="0.2">
      <c r="A102" s="4">
        <f t="shared" si="5"/>
        <v>0</v>
      </c>
      <c r="B102" s="4"/>
      <c r="C102" s="4"/>
      <c r="H102" s="2" t="str">
        <f t="shared" si="6"/>
        <v>Main</v>
      </c>
      <c r="K102" s="2" t="str">
        <f t="shared" si="7"/>
        <v>HGSC</v>
      </c>
      <c r="L102" s="9"/>
      <c r="M102" s="9"/>
      <c r="S102" s="9"/>
      <c r="T102" s="9"/>
      <c r="U102" s="9" t="str">
        <f t="shared" si="8"/>
        <v>15</v>
      </c>
      <c r="V102" s="9"/>
      <c r="W102" s="9"/>
      <c r="X102" s="9"/>
      <c r="Y102" s="9"/>
      <c r="Z102" s="9"/>
      <c r="AA102" s="9"/>
      <c r="AB102" s="9"/>
      <c r="AC102" s="9"/>
      <c r="AD102" s="9"/>
      <c r="AE102" s="9" t="str">
        <f t="shared" si="9"/>
        <v>IGO</v>
      </c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</row>
    <row r="103" spans="1:66" x14ac:dyDescent="0.2">
      <c r="A103" s="4">
        <f t="shared" si="5"/>
        <v>0</v>
      </c>
      <c r="B103" s="4"/>
      <c r="C103" s="4"/>
      <c r="H103" s="2" t="str">
        <f t="shared" si="6"/>
        <v>Main</v>
      </c>
      <c r="K103" s="2" t="str">
        <f t="shared" si="7"/>
        <v>HGSC</v>
      </c>
      <c r="L103" s="9"/>
      <c r="M103" s="9"/>
      <c r="S103" s="9"/>
      <c r="T103" s="9"/>
      <c r="U103" s="9" t="str">
        <f t="shared" si="8"/>
        <v>15</v>
      </c>
      <c r="V103" s="9"/>
      <c r="W103" s="9"/>
      <c r="X103" s="9"/>
      <c r="Y103" s="9"/>
      <c r="Z103" s="9"/>
      <c r="AA103" s="9"/>
      <c r="AB103" s="9"/>
      <c r="AC103" s="9"/>
      <c r="AD103" s="9"/>
      <c r="AE103" s="9" t="str">
        <f t="shared" si="9"/>
        <v>IGO</v>
      </c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</row>
    <row r="104" spans="1:66" x14ac:dyDescent="0.2">
      <c r="A104" s="4">
        <f t="shared" si="5"/>
        <v>0</v>
      </c>
      <c r="B104" s="4"/>
      <c r="C104" s="4"/>
      <c r="H104" s="2" t="str">
        <f t="shared" si="6"/>
        <v>Main</v>
      </c>
      <c r="K104" s="2" t="s">
        <v>184</v>
      </c>
      <c r="L104" s="9"/>
      <c r="M104" s="9"/>
      <c r="S104" s="9"/>
      <c r="T104" s="9"/>
      <c r="U104" s="9" t="str">
        <f t="shared" si="8"/>
        <v>15</v>
      </c>
      <c r="V104" s="9"/>
      <c r="W104" s="9"/>
      <c r="X104" s="9"/>
      <c r="Y104" s="9"/>
      <c r="Z104" s="9"/>
      <c r="AA104" s="9"/>
      <c r="AB104" s="9"/>
      <c r="AC104" s="9"/>
      <c r="AD104" s="9"/>
      <c r="AE104" s="9" t="str">
        <f t="shared" si="9"/>
        <v>IGO</v>
      </c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</row>
  </sheetData>
  <dataConsolidate/>
  <mergeCells count="13">
    <mergeCell ref="S3:W3"/>
    <mergeCell ref="A3:D3"/>
    <mergeCell ref="E3:I3"/>
    <mergeCell ref="K3:L3"/>
    <mergeCell ref="N3:R3"/>
    <mergeCell ref="BL3:BN3"/>
    <mergeCell ref="Y3:AA3"/>
    <mergeCell ref="AB3:AO3"/>
    <mergeCell ref="AQ3:AT3"/>
    <mergeCell ref="AU3:AY3"/>
    <mergeCell ref="AZ3:BA3"/>
    <mergeCell ref="BB3:BC3"/>
    <mergeCell ref="BD3:BK3"/>
  </mergeCells>
  <dataValidations count="1">
    <dataValidation allowBlank="1" showInputMessage="1" sqref="AE1:AE4 AE105:AE1048576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>
          <x14:formula1>
            <xm:f>Validations!$B$3:$B$103</xm:f>
          </x14:formula1>
          <xm:sqref>D5</xm:sqref>
        </x14:dataValidation>
        <x14:dataValidation type="list" allowBlank="1" showInputMessage="1" showErrorMessage="1">
          <x14:formula1>
            <xm:f>Validations!$C$3:$C$5</xm:f>
          </x14:formula1>
          <xm:sqref>F5</xm:sqref>
        </x14:dataValidation>
        <x14:dataValidation type="list" showInputMessage="1" showErrorMessage="1">
          <x14:formula1>
            <xm:f>Validations!$D$3:$D$11</xm:f>
          </x14:formula1>
          <xm:sqref>G5</xm:sqref>
        </x14:dataValidation>
        <x14:dataValidation type="list" allowBlank="1" showInputMessage="1" showErrorMessage="1">
          <x14:formula1>
            <xm:f>Validations!$F$3:$F$22</xm:f>
          </x14:formula1>
          <xm:sqref>I5</xm:sqref>
        </x14:dataValidation>
        <x14:dataValidation type="list" allowBlank="1" showInputMessage="1" showErrorMessage="1">
          <x14:formula1>
            <xm:f>Validations!$G$3:$G$4</xm:f>
          </x14:formula1>
          <xm:sqref>J5</xm:sqref>
        </x14:dataValidation>
        <x14:dataValidation type="list" allowBlank="1" showInputMessage="1" showErrorMessage="1">
          <x14:formula1>
            <xm:f>Validations!$H$3:$H$11</xm:f>
          </x14:formula1>
          <xm:sqref>K5</xm:sqref>
        </x14:dataValidation>
        <x14:dataValidation type="list" allowBlank="1" showInputMessage="1" showErrorMessage="1">
          <x14:formula1>
            <xm:f>Validations!$I$3:$I$11</xm:f>
          </x14:formula1>
          <xm:sqref>O5</xm:sqref>
        </x14:dataValidation>
        <x14:dataValidation type="list" allowBlank="1" showInputMessage="1" showErrorMessage="1">
          <x14:formula1>
            <xm:f>Validations!$J$3:$J$10</xm:f>
          </x14:formula1>
          <xm:sqref>Q5</xm:sqref>
        </x14:dataValidation>
        <x14:dataValidation type="list" allowBlank="1" showInputMessage="1" showErrorMessage="1">
          <x14:formula1>
            <xm:f>Validations!$K$3:$K$5</xm:f>
          </x14:formula1>
          <xm:sqref>R5</xm:sqref>
        </x14:dataValidation>
        <x14:dataValidation type="list" allowBlank="1" showInputMessage="1" showErrorMessage="1">
          <x14:formula1>
            <xm:f>Validations!$M$3:$M$4</xm:f>
          </x14:formula1>
          <xm:sqref>X5</xm:sqref>
        </x14:dataValidation>
        <x14:dataValidation type="list" allowBlank="1" showInputMessage="1" showErrorMessage="1">
          <x14:formula1>
            <xm:f>Validations!$N$3:$N$6</xm:f>
          </x14:formula1>
          <xm:sqref>Y5</xm:sqref>
        </x14:dataValidation>
        <x14:dataValidation type="list" allowBlank="1" showInputMessage="1" showErrorMessage="1">
          <x14:formula1>
            <xm:f>Validations!$O$3:$O$5</xm:f>
          </x14:formula1>
          <xm:sqref>AB5</xm:sqref>
        </x14:dataValidation>
        <x14:dataValidation type="list" allowBlank="1" showInputMessage="1" showErrorMessage="1">
          <x14:formula1>
            <xm:f>Validations!$P$3:$P$5</xm:f>
          </x14:formula1>
          <xm:sqref>AC5</xm:sqref>
        </x14:dataValidation>
        <x14:dataValidation type="list" allowBlank="1" showInputMessage="1" showErrorMessage="1">
          <x14:formula1>
            <xm:f>Validations!$Q$3:$Q$4</xm:f>
          </x14:formula1>
          <xm:sqref>AE5</xm:sqref>
        </x14:dataValidation>
        <x14:dataValidation type="list" showInputMessage="1" showErrorMessage="1">
          <x14:formula1>
            <xm:f>Validations!$R$3:$R$4</xm:f>
          </x14:formula1>
          <xm:sqref>AJ5:AJ104</xm:sqref>
        </x14:dataValidation>
        <x14:dataValidation type="list" allowBlank="1" showInputMessage="1" showErrorMessage="1">
          <x14:formula1>
            <xm:f>Validations!$L$3:$L$5</xm:f>
          </x14:formula1>
          <xm:sqref>W5</xm:sqref>
        </x14:dataValidation>
        <x14:dataValidation type="list" allowBlank="1" showInputMessage="1" showErrorMessage="1">
          <x14:formula1>
            <xm:f>Validations!$L$5:$L$7</xm:f>
          </x14:formula1>
          <xm:sqref>AT5</xm:sqref>
        </x14:dataValidation>
        <x14:dataValidation type="list" allowBlank="1" showInputMessage="1" showErrorMessage="1">
          <x14:formula1>
            <xm:f>Validations!$T$3:$T$4</xm:f>
          </x14:formula1>
          <xm:sqref>AW5</xm:sqref>
        </x14:dataValidation>
        <x14:dataValidation type="list" allowBlank="1" showInputMessage="1" showErrorMessage="1">
          <x14:formula1>
            <xm:f>Validations!$U$3:$U$4</xm:f>
          </x14:formula1>
          <xm:sqref>AY5</xm:sqref>
        </x14:dataValidation>
        <x14:dataValidation type="list" allowBlank="1" showInputMessage="1" showErrorMessage="1">
          <x14:formula1>
            <xm:f>Validations!$V$3:$V$5</xm:f>
          </x14:formula1>
          <xm:sqref>BN5</xm:sqref>
        </x14:dataValidation>
        <x14:dataValidation type="list" allowBlank="1" showInputMessage="1" showErrorMessage="1">
          <x14:formula1>
            <xm:f>Validations!$E$3:$E$4</xm:f>
          </x14:formula1>
          <xm:sqref>H5</xm:sqref>
        </x14:dataValidation>
        <x14:dataValidation type="list" allowBlank="1" showInputMessage="1" showErrorMessage="1">
          <x14:formula1>
            <xm:f>Validations!$K$3:$K$6</xm:f>
          </x14:formula1>
          <xm:sqref>R6:R104</xm:sqref>
        </x14:dataValidation>
        <x14:dataValidation type="list" allowBlank="1" showInputMessage="1" showErrorMessage="1">
          <x14:formula1>
            <xm:f>Validations!$G$3:$G$5</xm:f>
          </x14:formula1>
          <xm:sqref>J6:J104</xm:sqref>
        </x14:dataValidation>
        <x14:dataValidation type="list" showInputMessage="1" showErrorMessage="1">
          <x14:formula1>
            <xm:f>Validations!$B$3:$B$104</xm:f>
          </x14:formula1>
          <xm:sqref>D6:D104</xm:sqref>
        </x14:dataValidation>
        <x14:dataValidation type="list" allowBlank="1" showInputMessage="1" showErrorMessage="1">
          <x14:formula1>
            <xm:f>Validations!$C$3:$C$6</xm:f>
          </x14:formula1>
          <xm:sqref>F6:F104</xm:sqref>
        </x14:dataValidation>
        <x14:dataValidation type="list" showInputMessage="1" showErrorMessage="1">
          <x14:formula1>
            <xm:f>Validations!$D$3:$D$12</xm:f>
          </x14:formula1>
          <xm:sqref>G6:G104</xm:sqref>
        </x14:dataValidation>
        <x14:dataValidation type="list" allowBlank="1" showInputMessage="1" showErrorMessage="1">
          <x14:formula1>
            <xm:f>Validations!$E$3:$E$5</xm:f>
          </x14:formula1>
          <xm:sqref>H6:H104</xm:sqref>
        </x14:dataValidation>
        <x14:dataValidation type="list" allowBlank="1" showInputMessage="1" showErrorMessage="1">
          <x14:formula1>
            <xm:f>Validations!$F$3:$F$23</xm:f>
          </x14:formula1>
          <xm:sqref>I6:I104</xm:sqref>
        </x14:dataValidation>
        <x14:dataValidation type="list" allowBlank="1" showInputMessage="1" showErrorMessage="1">
          <x14:formula1>
            <xm:f>Validations!$H$3:$H$12</xm:f>
          </x14:formula1>
          <xm:sqref>K6:K104</xm:sqref>
        </x14:dataValidation>
        <x14:dataValidation type="list" allowBlank="1" showInputMessage="1" showErrorMessage="1">
          <x14:formula1>
            <xm:f>Validations!$I$3:$I$12</xm:f>
          </x14:formula1>
          <xm:sqref>O6:O104</xm:sqref>
        </x14:dataValidation>
        <x14:dataValidation type="list" allowBlank="1" showInputMessage="1" showErrorMessage="1">
          <x14:formula1>
            <xm:f>Validations!$J$3:$J$11</xm:f>
          </x14:formula1>
          <xm:sqref>Q6:Q104</xm:sqref>
        </x14:dataValidation>
        <x14:dataValidation type="list" allowBlank="1" showInputMessage="1" showErrorMessage="1">
          <x14:formula1>
            <xm:f>Validations!$M$3:$M$5</xm:f>
          </x14:formula1>
          <xm:sqref>X6:X104</xm:sqref>
        </x14:dataValidation>
        <x14:dataValidation type="list" allowBlank="1" showInputMessage="1" showErrorMessage="1">
          <x14:formula1>
            <xm:f>Validations!$N$3:$N$7</xm:f>
          </x14:formula1>
          <xm:sqref>Y6:Y104</xm:sqref>
        </x14:dataValidation>
        <x14:dataValidation type="list" allowBlank="1" showInputMessage="1" showErrorMessage="1">
          <x14:formula1>
            <xm:f>Validations!$O$3:$O$6</xm:f>
          </x14:formula1>
          <xm:sqref>AB6:AB104</xm:sqref>
        </x14:dataValidation>
        <x14:dataValidation type="list" allowBlank="1" showInputMessage="1" showErrorMessage="1">
          <x14:formula1>
            <xm:f>Validations!$P$3:$P$6</xm:f>
          </x14:formula1>
          <xm:sqref>AC6:AC104</xm:sqref>
        </x14:dataValidation>
        <x14:dataValidation type="list" allowBlank="1" showInputMessage="1" showErrorMessage="1">
          <x14:formula1>
            <xm:f>Validations!$Q$3:$Q$5</xm:f>
          </x14:formula1>
          <xm:sqref>AE6:AE104</xm:sqref>
        </x14:dataValidation>
        <x14:dataValidation type="list" allowBlank="1" showInputMessage="1" showErrorMessage="1">
          <x14:formula1>
            <xm:f>Validations!$L$5:$L$8</xm:f>
          </x14:formula1>
          <xm:sqref>AT6:AT104</xm:sqref>
        </x14:dataValidation>
        <x14:dataValidation type="list" allowBlank="1" showInputMessage="1" showErrorMessage="1">
          <x14:formula1>
            <xm:f>Validations!$T$3:$T$5</xm:f>
          </x14:formula1>
          <xm:sqref>AW6:AW104</xm:sqref>
        </x14:dataValidation>
        <x14:dataValidation type="list" allowBlank="1" showInputMessage="1" showErrorMessage="1">
          <x14:formula1>
            <xm:f>Validations!$U$3:$U$5</xm:f>
          </x14:formula1>
          <xm:sqref>AY6:AY104</xm:sqref>
        </x14:dataValidation>
        <x14:dataValidation type="list" allowBlank="1" showInputMessage="1" showErrorMessage="1">
          <x14:formula1>
            <xm:f>Validations!$V$3:$V$6</xm:f>
          </x14:formula1>
          <xm:sqref>BN6:BN104</xm:sqref>
        </x14:dataValidation>
        <x14:dataValidation type="list" allowBlank="1" showInputMessage="1" showErrorMessage="1">
          <x14:formula1>
            <xm:f>Validations!$L$3:$L$8</xm:f>
          </x14:formula1>
          <xm:sqref>W6:W104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V103"/>
  <sheetViews>
    <sheetView topLeftCell="I3" workbookViewId="0">
      <selection activeCell="L6" sqref="L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226</v>
      </c>
      <c r="R2" s="3" t="s">
        <v>32</v>
      </c>
      <c r="S2" s="3" t="s">
        <v>35</v>
      </c>
      <c r="T2" s="3" t="s">
        <v>44</v>
      </c>
      <c r="U2" s="3" t="s">
        <v>46</v>
      </c>
      <c r="V2" s="3" t="s">
        <v>52</v>
      </c>
    </row>
    <row r="3" spans="1:22" x14ac:dyDescent="0.2">
      <c r="B3" s="1" t="s">
        <v>66</v>
      </c>
      <c r="C3" s="1" t="s">
        <v>167</v>
      </c>
      <c r="D3" s="1" t="s">
        <v>169</v>
      </c>
      <c r="E3" s="1" t="s">
        <v>178</v>
      </c>
      <c r="F3" s="1">
        <v>1</v>
      </c>
      <c r="G3" s="1" t="s">
        <v>180</v>
      </c>
      <c r="H3" s="1" t="s">
        <v>182</v>
      </c>
      <c r="I3" s="1" t="s">
        <v>191</v>
      </c>
      <c r="J3" s="1" t="s">
        <v>192</v>
      </c>
      <c r="K3" s="1" t="s">
        <v>199</v>
      </c>
      <c r="L3" s="1" t="s">
        <v>202</v>
      </c>
      <c r="M3" s="1" t="s">
        <v>205</v>
      </c>
      <c r="N3" s="1" t="s">
        <v>207</v>
      </c>
      <c r="O3" s="1" t="s">
        <v>211</v>
      </c>
      <c r="P3" s="1" t="s">
        <v>214</v>
      </c>
      <c r="Q3" s="1" t="s">
        <v>228</v>
      </c>
      <c r="R3" s="1" t="s">
        <v>219</v>
      </c>
      <c r="S3" s="1" t="s">
        <v>220</v>
      </c>
      <c r="T3" s="1" t="s">
        <v>181</v>
      </c>
      <c r="U3" s="1" t="s">
        <v>181</v>
      </c>
      <c r="V3" s="1" t="s">
        <v>217</v>
      </c>
    </row>
    <row r="4" spans="1:22" x14ac:dyDescent="0.2">
      <c r="B4" s="1" t="s">
        <v>67</v>
      </c>
      <c r="C4" s="1" t="s">
        <v>168</v>
      </c>
      <c r="D4" s="1" t="s">
        <v>170</v>
      </c>
      <c r="E4" s="1" t="s">
        <v>179</v>
      </c>
      <c r="F4" s="1">
        <v>2</v>
      </c>
      <c r="G4" s="1" t="s">
        <v>181</v>
      </c>
      <c r="H4" s="1" t="s">
        <v>188</v>
      </c>
      <c r="I4" s="1" t="s">
        <v>192</v>
      </c>
      <c r="J4" s="1" t="s">
        <v>193</v>
      </c>
      <c r="K4" s="1" t="s">
        <v>200</v>
      </c>
      <c r="L4" s="1" t="s">
        <v>204</v>
      </c>
      <c r="M4" s="1" t="s">
        <v>206</v>
      </c>
      <c r="N4" s="1" t="s">
        <v>208</v>
      </c>
      <c r="O4" s="1" t="s">
        <v>212</v>
      </c>
      <c r="P4" s="1" t="s">
        <v>215</v>
      </c>
      <c r="Q4" s="1" t="s">
        <v>227</v>
      </c>
      <c r="R4" s="1" t="str">
        <f>" "</f>
        <v xml:space="preserve"> </v>
      </c>
      <c r="S4" s="1" t="s">
        <v>221</v>
      </c>
      <c r="T4" s="1" t="s">
        <v>180</v>
      </c>
      <c r="U4" s="1" t="s">
        <v>180</v>
      </c>
      <c r="V4" s="1" t="s">
        <v>218</v>
      </c>
    </row>
    <row r="5" spans="1:22" x14ac:dyDescent="0.2">
      <c r="B5" s="1" t="s">
        <v>68</v>
      </c>
      <c r="C5" s="1" t="s">
        <v>166</v>
      </c>
      <c r="D5" s="1" t="s">
        <v>171</v>
      </c>
      <c r="F5" s="1">
        <v>3</v>
      </c>
      <c r="H5" s="1" t="s">
        <v>183</v>
      </c>
      <c r="I5" s="1" t="s">
        <v>193</v>
      </c>
      <c r="J5" s="1" t="s">
        <v>194</v>
      </c>
      <c r="K5" s="1" t="s">
        <v>201</v>
      </c>
      <c r="L5" s="1" t="s">
        <v>203</v>
      </c>
      <c r="N5" s="1" t="s">
        <v>209</v>
      </c>
      <c r="O5" s="1" t="s">
        <v>213</v>
      </c>
      <c r="P5" s="1" t="s">
        <v>216</v>
      </c>
      <c r="S5" s="1" t="s">
        <v>222</v>
      </c>
      <c r="V5" s="1" t="s">
        <v>229</v>
      </c>
    </row>
    <row r="6" spans="1:22" x14ac:dyDescent="0.2">
      <c r="B6" s="1" t="s">
        <v>69</v>
      </c>
      <c r="D6" s="1" t="s">
        <v>172</v>
      </c>
      <c r="F6" s="1">
        <v>4</v>
      </c>
      <c r="H6" s="1" t="s">
        <v>184</v>
      </c>
      <c r="I6" s="1" t="s">
        <v>194</v>
      </c>
      <c r="J6" s="1" t="s">
        <v>195</v>
      </c>
      <c r="L6" s="1" t="s">
        <v>224</v>
      </c>
      <c r="N6" s="1" t="s">
        <v>210</v>
      </c>
      <c r="S6" s="1" t="s">
        <v>223</v>
      </c>
    </row>
    <row r="7" spans="1:22" x14ac:dyDescent="0.2">
      <c r="B7" s="1" t="s">
        <v>70</v>
      </c>
      <c r="D7" s="1" t="s">
        <v>173</v>
      </c>
      <c r="F7" s="1">
        <v>5</v>
      </c>
      <c r="H7" s="1" t="s">
        <v>185</v>
      </c>
      <c r="I7" s="1" t="s">
        <v>195</v>
      </c>
      <c r="J7" s="1" t="s">
        <v>189</v>
      </c>
      <c r="L7" s="1" t="s">
        <v>225</v>
      </c>
    </row>
    <row r="8" spans="1:22" x14ac:dyDescent="0.2">
      <c r="B8" s="1" t="s">
        <v>71</v>
      </c>
      <c r="D8" s="1" t="s">
        <v>174</v>
      </c>
      <c r="F8" s="1">
        <v>6</v>
      </c>
      <c r="H8" s="1" t="s">
        <v>186</v>
      </c>
      <c r="I8" s="1" t="s">
        <v>189</v>
      </c>
      <c r="J8" s="1" t="s">
        <v>196</v>
      </c>
    </row>
    <row r="9" spans="1:22" x14ac:dyDescent="0.2">
      <c r="B9" s="1" t="s">
        <v>72</v>
      </c>
      <c r="D9" s="1" t="s">
        <v>175</v>
      </c>
      <c r="F9" s="1">
        <v>7</v>
      </c>
      <c r="H9" s="1" t="s">
        <v>187</v>
      </c>
      <c r="I9" s="1" t="s">
        <v>196</v>
      </c>
      <c r="J9" s="1" t="s">
        <v>197</v>
      </c>
    </row>
    <row r="10" spans="1:22" x14ac:dyDescent="0.2">
      <c r="B10" s="1" t="s">
        <v>73</v>
      </c>
      <c r="D10" s="1" t="s">
        <v>176</v>
      </c>
      <c r="F10" s="1">
        <v>8</v>
      </c>
      <c r="H10" s="1" t="s">
        <v>189</v>
      </c>
      <c r="I10" s="1" t="s">
        <v>197</v>
      </c>
      <c r="J10" s="1" t="s">
        <v>198</v>
      </c>
    </row>
    <row r="11" spans="1:22" x14ac:dyDescent="0.2">
      <c r="B11" s="1" t="s">
        <v>74</v>
      </c>
      <c r="D11" s="1" t="s">
        <v>177</v>
      </c>
      <c r="F11" s="1">
        <v>9</v>
      </c>
      <c r="H11" s="1" t="s">
        <v>190</v>
      </c>
      <c r="I11" s="1" t="s">
        <v>198</v>
      </c>
    </row>
    <row r="12" spans="1:22" x14ac:dyDescent="0.2">
      <c r="B12" s="1" t="s">
        <v>75</v>
      </c>
      <c r="F12" s="1">
        <v>10</v>
      </c>
    </row>
    <row r="13" spans="1:22" x14ac:dyDescent="0.2">
      <c r="B13" s="1" t="s">
        <v>76</v>
      </c>
      <c r="F13" s="1">
        <v>11</v>
      </c>
    </row>
    <row r="14" spans="1:22" x14ac:dyDescent="0.2">
      <c r="B14" s="1" t="s">
        <v>77</v>
      </c>
      <c r="F14" s="1">
        <v>12</v>
      </c>
    </row>
    <row r="15" spans="1:22" x14ac:dyDescent="0.2">
      <c r="B15" s="1" t="s">
        <v>78</v>
      </c>
      <c r="F15" s="1">
        <v>13</v>
      </c>
    </row>
    <row r="16" spans="1:22" x14ac:dyDescent="0.2">
      <c r="B16" s="1" t="s">
        <v>79</v>
      </c>
      <c r="F16" s="1">
        <v>14</v>
      </c>
    </row>
    <row r="17" spans="2:6" x14ac:dyDescent="0.2">
      <c r="B17" s="1" t="s">
        <v>80</v>
      </c>
      <c r="F17" s="1">
        <v>15</v>
      </c>
    </row>
    <row r="18" spans="2:6" x14ac:dyDescent="0.2">
      <c r="B18" s="1" t="s">
        <v>81</v>
      </c>
      <c r="F18" s="1">
        <v>16</v>
      </c>
    </row>
    <row r="19" spans="2:6" x14ac:dyDescent="0.2">
      <c r="B19" s="1" t="s">
        <v>82</v>
      </c>
      <c r="F19" s="1">
        <v>17</v>
      </c>
    </row>
    <row r="20" spans="2:6" x14ac:dyDescent="0.2">
      <c r="B20" s="1" t="s">
        <v>83</v>
      </c>
      <c r="F20" s="1">
        <v>18</v>
      </c>
    </row>
    <row r="21" spans="2:6" x14ac:dyDescent="0.2">
      <c r="B21" s="1" t="s">
        <v>84</v>
      </c>
      <c r="F21" s="1">
        <v>19</v>
      </c>
    </row>
    <row r="22" spans="2:6" x14ac:dyDescent="0.2">
      <c r="B22" s="1" t="s">
        <v>85</v>
      </c>
      <c r="F22" s="1">
        <v>20</v>
      </c>
    </row>
    <row r="23" spans="2:6" x14ac:dyDescent="0.2">
      <c r="B23" s="1" t="s">
        <v>86</v>
      </c>
    </row>
    <row r="24" spans="2:6" x14ac:dyDescent="0.2">
      <c r="B24" s="1" t="s">
        <v>87</v>
      </c>
    </row>
    <row r="25" spans="2:6" x14ac:dyDescent="0.2">
      <c r="B25" s="1" t="s">
        <v>88</v>
      </c>
    </row>
    <row r="26" spans="2:6" x14ac:dyDescent="0.2">
      <c r="B26" s="1" t="s">
        <v>89</v>
      </c>
    </row>
    <row r="27" spans="2:6" x14ac:dyDescent="0.2">
      <c r="B27" s="1" t="s">
        <v>90</v>
      </c>
    </row>
    <row r="28" spans="2:6" x14ac:dyDescent="0.2">
      <c r="B28" s="1" t="s">
        <v>91</v>
      </c>
    </row>
    <row r="29" spans="2:6" x14ac:dyDescent="0.2">
      <c r="B29" s="1" t="s">
        <v>92</v>
      </c>
    </row>
    <row r="30" spans="2:6" x14ac:dyDescent="0.2">
      <c r="B30" s="1" t="s">
        <v>93</v>
      </c>
    </row>
    <row r="31" spans="2:6" x14ac:dyDescent="0.2">
      <c r="B31" s="1" t="s">
        <v>94</v>
      </c>
    </row>
    <row r="32" spans="2:6" x14ac:dyDescent="0.2">
      <c r="B32" s="1" t="s">
        <v>95</v>
      </c>
    </row>
    <row r="33" spans="2:2" x14ac:dyDescent="0.2">
      <c r="B33" s="1" t="s">
        <v>96</v>
      </c>
    </row>
    <row r="34" spans="2:2" x14ac:dyDescent="0.2">
      <c r="B34" s="1" t="s">
        <v>97</v>
      </c>
    </row>
    <row r="35" spans="2:2" x14ac:dyDescent="0.2">
      <c r="B35" s="1" t="s">
        <v>98</v>
      </c>
    </row>
    <row r="36" spans="2:2" x14ac:dyDescent="0.2">
      <c r="B36" s="1" t="s">
        <v>99</v>
      </c>
    </row>
    <row r="37" spans="2:2" x14ac:dyDescent="0.2">
      <c r="B37" s="1" t="s">
        <v>100</v>
      </c>
    </row>
    <row r="38" spans="2:2" x14ac:dyDescent="0.2">
      <c r="B38" s="1" t="s">
        <v>101</v>
      </c>
    </row>
    <row r="39" spans="2:2" x14ac:dyDescent="0.2">
      <c r="B39" s="1" t="s">
        <v>102</v>
      </c>
    </row>
    <row r="40" spans="2:2" x14ac:dyDescent="0.2">
      <c r="B40" s="1" t="s">
        <v>103</v>
      </c>
    </row>
    <row r="41" spans="2:2" x14ac:dyDescent="0.2">
      <c r="B41" s="1" t="s">
        <v>104</v>
      </c>
    </row>
    <row r="42" spans="2:2" x14ac:dyDescent="0.2">
      <c r="B42" s="1" t="s">
        <v>105</v>
      </c>
    </row>
    <row r="43" spans="2:2" x14ac:dyDescent="0.2">
      <c r="B43" s="1" t="s">
        <v>106</v>
      </c>
    </row>
    <row r="44" spans="2:2" x14ac:dyDescent="0.2">
      <c r="B44" s="1" t="s">
        <v>107</v>
      </c>
    </row>
    <row r="45" spans="2:2" x14ac:dyDescent="0.2">
      <c r="B45" s="1" t="s">
        <v>108</v>
      </c>
    </row>
    <row r="46" spans="2:2" x14ac:dyDescent="0.2">
      <c r="B46" s="1" t="s">
        <v>109</v>
      </c>
    </row>
    <row r="47" spans="2:2" x14ac:dyDescent="0.2">
      <c r="B47" s="1" t="s">
        <v>110</v>
      </c>
    </row>
    <row r="48" spans="2:2" x14ac:dyDescent="0.2">
      <c r="B48" s="1" t="s">
        <v>111</v>
      </c>
    </row>
    <row r="49" spans="2:2" x14ac:dyDescent="0.2">
      <c r="B49" s="1" t="s">
        <v>112</v>
      </c>
    </row>
    <row r="50" spans="2:2" x14ac:dyDescent="0.2">
      <c r="B50" s="1" t="s">
        <v>113</v>
      </c>
    </row>
    <row r="51" spans="2:2" x14ac:dyDescent="0.2">
      <c r="B51" s="1" t="s">
        <v>114</v>
      </c>
    </row>
    <row r="52" spans="2:2" x14ac:dyDescent="0.2">
      <c r="B52" s="1" t="s">
        <v>115</v>
      </c>
    </row>
    <row r="53" spans="2:2" x14ac:dyDescent="0.2">
      <c r="B53" s="1" t="s">
        <v>116</v>
      </c>
    </row>
    <row r="54" spans="2:2" x14ac:dyDescent="0.2">
      <c r="B54" s="1" t="s">
        <v>117</v>
      </c>
    </row>
    <row r="55" spans="2:2" x14ac:dyDescent="0.2">
      <c r="B55" s="1" t="s">
        <v>118</v>
      </c>
    </row>
    <row r="56" spans="2:2" x14ac:dyDescent="0.2">
      <c r="B56" s="1" t="s">
        <v>119</v>
      </c>
    </row>
    <row r="57" spans="2:2" x14ac:dyDescent="0.2">
      <c r="B57" s="1" t="s">
        <v>120</v>
      </c>
    </row>
    <row r="58" spans="2:2" x14ac:dyDescent="0.2">
      <c r="B58" s="1" t="s">
        <v>121</v>
      </c>
    </row>
    <row r="59" spans="2:2" x14ac:dyDescent="0.2">
      <c r="B59" s="1" t="s">
        <v>122</v>
      </c>
    </row>
    <row r="60" spans="2:2" x14ac:dyDescent="0.2">
      <c r="B60" s="1" t="s">
        <v>123</v>
      </c>
    </row>
    <row r="61" spans="2:2" x14ac:dyDescent="0.2">
      <c r="B61" s="1" t="s">
        <v>124</v>
      </c>
    </row>
    <row r="62" spans="2:2" x14ac:dyDescent="0.2">
      <c r="B62" s="1" t="s">
        <v>125</v>
      </c>
    </row>
    <row r="63" spans="2:2" x14ac:dyDescent="0.2">
      <c r="B63" s="1" t="s">
        <v>126</v>
      </c>
    </row>
    <row r="64" spans="2:2" x14ac:dyDescent="0.2">
      <c r="B64" s="1" t="s">
        <v>127</v>
      </c>
    </row>
    <row r="65" spans="2:2" x14ac:dyDescent="0.2">
      <c r="B65" s="1" t="s">
        <v>128</v>
      </c>
    </row>
    <row r="66" spans="2:2" x14ac:dyDescent="0.2">
      <c r="B66" s="1" t="s">
        <v>129</v>
      </c>
    </row>
    <row r="67" spans="2:2" x14ac:dyDescent="0.2">
      <c r="B67" s="1" t="s">
        <v>130</v>
      </c>
    </row>
    <row r="68" spans="2:2" x14ac:dyDescent="0.2">
      <c r="B68" s="1" t="s">
        <v>131</v>
      </c>
    </row>
    <row r="69" spans="2:2" x14ac:dyDescent="0.2">
      <c r="B69" s="1" t="s">
        <v>132</v>
      </c>
    </row>
    <row r="70" spans="2:2" x14ac:dyDescent="0.2">
      <c r="B70" s="1" t="s">
        <v>133</v>
      </c>
    </row>
    <row r="71" spans="2:2" x14ac:dyDescent="0.2">
      <c r="B71" s="1" t="s">
        <v>134</v>
      </c>
    </row>
    <row r="72" spans="2:2" x14ac:dyDescent="0.2">
      <c r="B72" s="1" t="s">
        <v>135</v>
      </c>
    </row>
    <row r="73" spans="2:2" x14ac:dyDescent="0.2">
      <c r="B73" s="1" t="s">
        <v>136</v>
      </c>
    </row>
    <row r="74" spans="2:2" x14ac:dyDescent="0.2">
      <c r="B74" s="1" t="s">
        <v>137</v>
      </c>
    </row>
    <row r="75" spans="2:2" x14ac:dyDescent="0.2">
      <c r="B75" s="1" t="s">
        <v>138</v>
      </c>
    </row>
    <row r="76" spans="2:2" x14ac:dyDescent="0.2">
      <c r="B76" s="1" t="s">
        <v>139</v>
      </c>
    </row>
    <row r="77" spans="2:2" x14ac:dyDescent="0.2">
      <c r="B77" s="1" t="s">
        <v>140</v>
      </c>
    </row>
    <row r="78" spans="2:2" x14ac:dyDescent="0.2">
      <c r="B78" s="1" t="s">
        <v>141</v>
      </c>
    </row>
    <row r="79" spans="2:2" x14ac:dyDescent="0.2">
      <c r="B79" s="1" t="s">
        <v>142</v>
      </c>
    </row>
    <row r="80" spans="2:2" x14ac:dyDescent="0.2">
      <c r="B80" s="1" t="s">
        <v>143</v>
      </c>
    </row>
    <row r="81" spans="2:2" x14ac:dyDescent="0.2">
      <c r="B81" s="1" t="s">
        <v>144</v>
      </c>
    </row>
    <row r="82" spans="2:2" x14ac:dyDescent="0.2">
      <c r="B82" s="1" t="s">
        <v>145</v>
      </c>
    </row>
    <row r="83" spans="2:2" x14ac:dyDescent="0.2">
      <c r="B83" s="1" t="s">
        <v>146</v>
      </c>
    </row>
    <row r="84" spans="2:2" x14ac:dyDescent="0.2">
      <c r="B84" s="1" t="s">
        <v>147</v>
      </c>
    </row>
    <row r="85" spans="2:2" x14ac:dyDescent="0.2">
      <c r="B85" s="1" t="s">
        <v>148</v>
      </c>
    </row>
    <row r="86" spans="2:2" x14ac:dyDescent="0.2">
      <c r="B86" s="1" t="s">
        <v>149</v>
      </c>
    </row>
    <row r="87" spans="2:2" x14ac:dyDescent="0.2">
      <c r="B87" s="1" t="s">
        <v>150</v>
      </c>
    </row>
    <row r="88" spans="2:2" x14ac:dyDescent="0.2">
      <c r="B88" s="1" t="s">
        <v>151</v>
      </c>
    </row>
    <row r="89" spans="2:2" x14ac:dyDescent="0.2">
      <c r="B89" s="1" t="s">
        <v>152</v>
      </c>
    </row>
    <row r="90" spans="2:2" x14ac:dyDescent="0.2">
      <c r="B90" s="1" t="s">
        <v>153</v>
      </c>
    </row>
    <row r="91" spans="2:2" x14ac:dyDescent="0.2">
      <c r="B91" s="1" t="s">
        <v>154</v>
      </c>
    </row>
    <row r="92" spans="2:2" x14ac:dyDescent="0.2">
      <c r="B92" s="1" t="s">
        <v>155</v>
      </c>
    </row>
    <row r="93" spans="2:2" x14ac:dyDescent="0.2">
      <c r="B93" s="1" t="s">
        <v>156</v>
      </c>
    </row>
    <row r="94" spans="2:2" x14ac:dyDescent="0.2">
      <c r="B94" s="1" t="s">
        <v>157</v>
      </c>
    </row>
    <row r="95" spans="2:2" x14ac:dyDescent="0.2">
      <c r="B95" s="1" t="s">
        <v>158</v>
      </c>
    </row>
    <row r="96" spans="2:2" x14ac:dyDescent="0.2">
      <c r="B96" s="1" t="s">
        <v>159</v>
      </c>
    </row>
    <row r="97" spans="2:2" x14ac:dyDescent="0.2">
      <c r="B97" s="1" t="s">
        <v>160</v>
      </c>
    </row>
    <row r="98" spans="2:2" x14ac:dyDescent="0.2">
      <c r="B98" s="1" t="s">
        <v>161</v>
      </c>
    </row>
    <row r="99" spans="2:2" x14ac:dyDescent="0.2">
      <c r="B99" s="1" t="s">
        <v>162</v>
      </c>
    </row>
    <row r="100" spans="2:2" x14ac:dyDescent="0.2">
      <c r="B100" s="1" t="s">
        <v>163</v>
      </c>
    </row>
    <row r="101" spans="2:2" x14ac:dyDescent="0.2">
      <c r="B101" s="1" t="s">
        <v>164</v>
      </c>
    </row>
    <row r="102" spans="2:2" x14ac:dyDescent="0.2">
      <c r="B102" s="1" t="s">
        <v>165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2019-10-11T19:42:31Z</dcterms:modified>
</cp:coreProperties>
</file>