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0B96A685-C42A-0348-8306-81CAF04E6A9B}" xr6:coauthVersionLast="36" xr6:coauthVersionMax="45" xr10:uidLastSave="{00000000-0000-0000-0000-000000000000}"/>
  <bookViews>
    <workbookView xWindow="39240" yWindow="860" windowWidth="30360" windowHeight="1872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97" i="3" l="1"/>
  <c r="AF97" i="3"/>
  <c r="AI97" i="3" s="1"/>
  <c r="W97" i="3"/>
  <c r="P97" i="3"/>
  <c r="M97" i="3"/>
  <c r="J97" i="3"/>
  <c r="F97" i="3"/>
  <c r="A97" i="3"/>
  <c r="BD96" i="3"/>
  <c r="AF96" i="3"/>
  <c r="AI96" i="3" s="1"/>
  <c r="W96" i="3"/>
  <c r="P96" i="3"/>
  <c r="M96" i="3"/>
  <c r="J96" i="3"/>
  <c r="F96" i="3"/>
  <c r="A96" i="3"/>
  <c r="BD95" i="3"/>
  <c r="AF95" i="3"/>
  <c r="AI95" i="3" s="1"/>
  <c r="W95" i="3"/>
  <c r="P95" i="3"/>
  <c r="M95" i="3"/>
  <c r="J95" i="3"/>
  <c r="F95" i="3"/>
  <c r="A95" i="3"/>
  <c r="BD94" i="3"/>
  <c r="AF94" i="3"/>
  <c r="AI94" i="3" s="1"/>
  <c r="W94" i="3"/>
  <c r="P94" i="3"/>
  <c r="M94" i="3"/>
  <c r="J94" i="3"/>
  <c r="F94" i="3"/>
  <c r="A94" i="3"/>
  <c r="BD93" i="3"/>
  <c r="AF93" i="3"/>
  <c r="AI93" i="3" s="1"/>
  <c r="W93" i="3"/>
  <c r="P93" i="3"/>
  <c r="M93" i="3"/>
  <c r="J93" i="3"/>
  <c r="F93" i="3"/>
  <c r="A93" i="3"/>
  <c r="BD92" i="3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AG82" i="3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AG74" i="3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AG72" i="3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W65" i="3"/>
  <c r="P65" i="3"/>
  <c r="M65" i="3"/>
  <c r="J65" i="3"/>
  <c r="F65" i="3"/>
  <c r="A65" i="3"/>
  <c r="BD64" i="3"/>
  <c r="AF64" i="3"/>
  <c r="AI64" i="3" s="1"/>
  <c r="AG64" i="3"/>
  <c r="W64" i="3"/>
  <c r="P64" i="3"/>
  <c r="M64" i="3"/>
  <c r="J64" i="3"/>
  <c r="F64" i="3"/>
  <c r="A64" i="3"/>
  <c r="BD63" i="3"/>
  <c r="AF63" i="3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W61" i="3"/>
  <c r="P61" i="3"/>
  <c r="M61" i="3"/>
  <c r="J61" i="3"/>
  <c r="F61" i="3"/>
  <c r="A61" i="3"/>
  <c r="BD60" i="3"/>
  <c r="AF60" i="3"/>
  <c r="AI60" i="3" s="1"/>
  <c r="W60" i="3"/>
  <c r="P60" i="3"/>
  <c r="M60" i="3"/>
  <c r="J60" i="3"/>
  <c r="F60" i="3"/>
  <c r="A60" i="3"/>
  <c r="BD59" i="3"/>
  <c r="AF59" i="3"/>
  <c r="W59" i="3"/>
  <c r="P59" i="3"/>
  <c r="M59" i="3"/>
  <c r="J59" i="3"/>
  <c r="F59" i="3"/>
  <c r="A59" i="3"/>
  <c r="BD58" i="3"/>
  <c r="AF58" i="3"/>
  <c r="AI58" i="3" s="1"/>
  <c r="W58" i="3"/>
  <c r="P58" i="3"/>
  <c r="M58" i="3"/>
  <c r="J58" i="3"/>
  <c r="F58" i="3"/>
  <c r="A58" i="3"/>
  <c r="BD57" i="3"/>
  <c r="AF57" i="3"/>
  <c r="W57" i="3"/>
  <c r="P57" i="3"/>
  <c r="M57" i="3"/>
  <c r="J57" i="3"/>
  <c r="F57" i="3"/>
  <c r="A57" i="3"/>
  <c r="BD56" i="3"/>
  <c r="AF56" i="3"/>
  <c r="AI56" i="3" s="1"/>
  <c r="W56" i="3"/>
  <c r="P56" i="3"/>
  <c r="M56" i="3"/>
  <c r="J56" i="3"/>
  <c r="F56" i="3"/>
  <c r="A56" i="3"/>
  <c r="BD55" i="3"/>
  <c r="AF55" i="3"/>
  <c r="W55" i="3"/>
  <c r="P55" i="3"/>
  <c r="M55" i="3"/>
  <c r="J55" i="3"/>
  <c r="F55" i="3"/>
  <c r="A55" i="3"/>
  <c r="BD54" i="3"/>
  <c r="AF54" i="3"/>
  <c r="AI54" i="3" s="1"/>
  <c r="AG54" i="3"/>
  <c r="W54" i="3"/>
  <c r="P54" i="3"/>
  <c r="M54" i="3"/>
  <c r="J54" i="3"/>
  <c r="F54" i="3"/>
  <c r="A54" i="3"/>
  <c r="BD53" i="3"/>
  <c r="AF53" i="3"/>
  <c r="W53" i="3"/>
  <c r="P53" i="3"/>
  <c r="M53" i="3"/>
  <c r="J53" i="3"/>
  <c r="F53" i="3"/>
  <c r="A53" i="3"/>
  <c r="BD52" i="3"/>
  <c r="AF52" i="3"/>
  <c r="AI52" i="3" s="1"/>
  <c r="W52" i="3"/>
  <c r="P52" i="3"/>
  <c r="M52" i="3"/>
  <c r="J52" i="3"/>
  <c r="F52" i="3"/>
  <c r="A52" i="3"/>
  <c r="BD51" i="3"/>
  <c r="AF51" i="3"/>
  <c r="W51" i="3"/>
  <c r="P51" i="3"/>
  <c r="M51" i="3"/>
  <c r="J51" i="3"/>
  <c r="F51" i="3"/>
  <c r="A51" i="3"/>
  <c r="BD50" i="3"/>
  <c r="AF50" i="3"/>
  <c r="AI50" i="3" s="1"/>
  <c r="W50" i="3"/>
  <c r="P50" i="3"/>
  <c r="M50" i="3"/>
  <c r="J50" i="3"/>
  <c r="F50" i="3"/>
  <c r="A50" i="3"/>
  <c r="BD49" i="3"/>
  <c r="AF49" i="3"/>
  <c r="W49" i="3"/>
  <c r="P49" i="3"/>
  <c r="M49" i="3"/>
  <c r="J49" i="3"/>
  <c r="F49" i="3"/>
  <c r="A49" i="3"/>
  <c r="BD48" i="3"/>
  <c r="AF48" i="3"/>
  <c r="AI48" i="3" s="1"/>
  <c r="AG48" i="3"/>
  <c r="W48" i="3"/>
  <c r="P48" i="3"/>
  <c r="M48" i="3"/>
  <c r="J48" i="3"/>
  <c r="F48" i="3"/>
  <c r="A48" i="3"/>
  <c r="BD47" i="3"/>
  <c r="AF47" i="3"/>
  <c r="W47" i="3"/>
  <c r="P47" i="3"/>
  <c r="M47" i="3"/>
  <c r="J47" i="3"/>
  <c r="F47" i="3"/>
  <c r="A47" i="3"/>
  <c r="BD46" i="3"/>
  <c r="AF46" i="3"/>
  <c r="AI46" i="3" s="1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AI44" i="3" s="1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AI42" i="3" s="1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AG38" i="3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P35" i="3"/>
  <c r="J35" i="3"/>
  <c r="F35" i="3"/>
  <c r="A35" i="3"/>
  <c r="BD34" i="3"/>
  <c r="AF34" i="3"/>
  <c r="AI34" i="3" s="1"/>
  <c r="P34" i="3"/>
  <c r="J34" i="3"/>
  <c r="F34" i="3"/>
  <c r="A34" i="3"/>
  <c r="BD33" i="3"/>
  <c r="AF33" i="3"/>
  <c r="AI33" i="3" s="1"/>
  <c r="P33" i="3"/>
  <c r="J33" i="3"/>
  <c r="F33" i="3"/>
  <c r="A33" i="3"/>
  <c r="BD32" i="3"/>
  <c r="AF32" i="3"/>
  <c r="AI32" i="3" s="1"/>
  <c r="P32" i="3"/>
  <c r="J32" i="3"/>
  <c r="F32" i="3"/>
  <c r="A32" i="3"/>
  <c r="BD31" i="3"/>
  <c r="AF31" i="3"/>
  <c r="AI31" i="3" s="1"/>
  <c r="P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J6" i="3"/>
  <c r="F6" i="3"/>
  <c r="A6" i="3"/>
  <c r="BD5" i="3"/>
  <c r="AF5" i="3"/>
  <c r="AI5" i="3" s="1"/>
  <c r="P5" i="3"/>
  <c r="J5" i="3"/>
  <c r="F5" i="3"/>
  <c r="A5" i="3"/>
  <c r="BD4" i="3"/>
  <c r="AF4" i="3"/>
  <c r="AI4" i="3" s="1"/>
  <c r="P4" i="3"/>
  <c r="J4" i="3"/>
  <c r="F4" i="3"/>
  <c r="A4" i="3"/>
  <c r="BD3" i="3"/>
  <c r="AF3" i="3"/>
  <c r="AI3" i="3" s="1"/>
  <c r="P3" i="3"/>
  <c r="F3" i="3"/>
  <c r="A3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G99" i="1" s="1"/>
  <c r="AF98" i="1"/>
  <c r="AF97" i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F89" i="1"/>
  <c r="AI89" i="1" s="1"/>
  <c r="AF88" i="1"/>
  <c r="AI88" i="1" s="1"/>
  <c r="AF87" i="1"/>
  <c r="AG87" i="1" s="1"/>
  <c r="AF86" i="1"/>
  <c r="AF85" i="1"/>
  <c r="AI85" i="1" s="1"/>
  <c r="AF84" i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F77" i="1"/>
  <c r="AI77" i="1" s="1"/>
  <c r="AF76" i="1"/>
  <c r="AI76" i="1" s="1"/>
  <c r="AF75" i="1"/>
  <c r="AG75" i="1" s="1"/>
  <c r="AF74" i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F39" i="1"/>
  <c r="AG39" i="1" s="1"/>
  <c r="AF38" i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F13" i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7" i="1"/>
  <c r="AI25" i="1"/>
  <c r="AG26" i="1"/>
  <c r="AI26" i="1"/>
  <c r="AI28" i="1"/>
  <c r="AI29" i="1"/>
  <c r="AG38" i="1"/>
  <c r="AI38" i="1"/>
  <c r="AG40" i="1"/>
  <c r="AI40" i="1"/>
  <c r="AI42" i="1"/>
  <c r="AI43" i="1"/>
  <c r="AI45" i="1"/>
  <c r="AI49" i="1"/>
  <c r="AG50" i="1"/>
  <c r="AI50" i="1"/>
  <c r="AG52" i="1"/>
  <c r="AI54" i="1"/>
  <c r="AG61" i="1"/>
  <c r="AG62" i="1"/>
  <c r="AI62" i="1"/>
  <c r="AG63" i="1"/>
  <c r="AI66" i="1"/>
  <c r="AG68" i="1"/>
  <c r="AG74" i="1"/>
  <c r="AI74" i="1"/>
  <c r="AG78" i="1"/>
  <c r="AI78" i="1"/>
  <c r="AG84" i="1"/>
  <c r="AI84" i="1"/>
  <c r="AG85" i="1"/>
  <c r="AG86" i="1"/>
  <c r="AI86" i="1"/>
  <c r="AG88" i="1"/>
  <c r="AG89" i="1"/>
  <c r="AG90" i="1"/>
  <c r="AI90" i="1"/>
  <c r="AG96" i="1"/>
  <c r="AG97" i="1"/>
  <c r="AI97" i="1"/>
  <c r="AG98" i="1"/>
  <c r="AI98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13" i="1"/>
  <c r="AI14" i="1"/>
  <c r="AG13" i="1"/>
  <c r="AG14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81" i="1" l="1"/>
  <c r="AG92" i="1"/>
  <c r="AG8" i="1"/>
  <c r="AI22" i="1"/>
  <c r="AG80" i="1"/>
  <c r="AG58" i="1"/>
  <c r="AI21" i="1"/>
  <c r="AG57" i="1"/>
  <c r="AG9" i="1"/>
  <c r="AI37" i="1"/>
  <c r="AG73" i="1"/>
  <c r="AG34" i="1"/>
  <c r="AG8" i="3"/>
  <c r="AG88" i="3"/>
  <c r="AG69" i="1"/>
  <c r="AI33" i="1"/>
  <c r="AG10" i="3"/>
  <c r="AG56" i="3"/>
  <c r="AG32" i="1"/>
  <c r="AG32" i="3"/>
  <c r="AG46" i="3"/>
  <c r="AG62" i="3"/>
  <c r="AG78" i="3"/>
  <c r="AG82" i="1"/>
  <c r="AG71" i="1"/>
  <c r="AI70" i="1"/>
  <c r="AI60" i="1"/>
  <c r="AI48" i="1"/>
  <c r="AG16" i="3"/>
  <c r="AG86" i="3"/>
  <c r="AG96" i="3"/>
  <c r="AG12" i="1"/>
  <c r="AI46" i="1"/>
  <c r="AI36" i="1"/>
  <c r="AG18" i="3"/>
  <c r="AI10" i="1"/>
  <c r="AI24" i="1"/>
  <c r="AG28" i="3"/>
  <c r="AI94" i="1"/>
  <c r="AI93" i="1"/>
  <c r="AG77" i="1"/>
  <c r="AI30" i="1"/>
  <c r="AI18" i="1"/>
  <c r="AG76" i="1"/>
  <c r="AG65" i="1"/>
  <c r="AI53" i="1"/>
  <c r="AI41" i="1"/>
  <c r="AG39" i="3"/>
  <c r="AG94" i="3"/>
  <c r="AG70" i="3"/>
  <c r="AG80" i="3"/>
  <c r="AG90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4" i="3"/>
  <c r="AG12" i="3"/>
  <c r="AG20" i="3"/>
  <c r="AG42" i="3"/>
  <c r="AG50" i="3"/>
  <c r="AG58" i="3"/>
  <c r="AG66" i="3"/>
  <c r="AI35" i="1"/>
  <c r="AG6" i="3"/>
  <c r="AG14" i="3"/>
  <c r="AG24" i="3"/>
  <c r="AG43" i="3"/>
  <c r="AG52" i="3"/>
  <c r="AG60" i="3"/>
  <c r="AG68" i="3"/>
  <c r="AG76" i="3"/>
  <c r="AG84" i="3"/>
  <c r="AG92" i="3"/>
  <c r="AI27" i="1"/>
  <c r="AI19" i="1"/>
  <c r="AI53" i="3"/>
  <c r="AG53" i="3"/>
  <c r="AI61" i="3"/>
  <c r="AG61" i="3"/>
  <c r="AG3" i="3"/>
  <c r="AG7" i="3"/>
  <c r="AG11" i="3"/>
  <c r="AG15" i="3"/>
  <c r="AG19" i="3"/>
  <c r="AG23" i="3"/>
  <c r="AG27" i="3"/>
  <c r="AG31" i="3"/>
  <c r="AG35" i="3"/>
  <c r="AI47" i="3"/>
  <c r="AG47" i="3"/>
  <c r="AI55" i="3"/>
  <c r="AG55" i="3"/>
  <c r="AI63" i="3"/>
  <c r="AG63" i="3"/>
  <c r="AI55" i="1"/>
  <c r="AI47" i="1"/>
  <c r="AI39" i="1"/>
  <c r="AI31" i="1"/>
  <c r="AI23" i="1"/>
  <c r="AG22" i="3"/>
  <c r="AG26" i="3"/>
  <c r="AG30" i="3"/>
  <c r="AG34" i="3"/>
  <c r="AG36" i="3"/>
  <c r="AG40" i="3"/>
  <c r="AG44" i="3"/>
  <c r="AI49" i="3"/>
  <c r="AG49" i="3"/>
  <c r="AI57" i="3"/>
  <c r="AG57" i="3"/>
  <c r="AI65" i="3"/>
  <c r="AG65" i="3"/>
  <c r="AG5" i="3"/>
  <c r="AG9" i="3"/>
  <c r="AG13" i="3"/>
  <c r="AG17" i="3"/>
  <c r="AG21" i="3"/>
  <c r="AG25" i="3"/>
  <c r="AG29" i="3"/>
  <c r="AG33" i="3"/>
  <c r="AG37" i="3"/>
  <c r="AG41" i="3"/>
  <c r="AG45" i="3"/>
  <c r="AI51" i="3"/>
  <c r="AG51" i="3"/>
  <c r="AI59" i="3"/>
  <c r="AG59" i="3"/>
  <c r="AG67" i="3"/>
  <c r="AG69" i="3"/>
  <c r="AG71" i="3"/>
  <c r="AG73" i="3"/>
  <c r="AG75" i="3"/>
  <c r="AG77" i="3"/>
  <c r="AG79" i="3"/>
  <c r="AG81" i="3"/>
  <c r="AG83" i="3"/>
  <c r="AG85" i="3"/>
  <c r="AG87" i="3"/>
  <c r="AG89" i="3"/>
  <c r="AG91" i="3"/>
  <c r="AG93" i="3"/>
  <c r="AG95" i="3"/>
  <c r="AG97" i="3"/>
</calcChain>
</file>

<file path=xl/sharedStrings.xml><?xml version="1.0" encoding="utf-8"?>
<sst xmlns="http://schemas.openxmlformats.org/spreadsheetml/2006/main" count="443" uniqueCount="287">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</sst>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zoomScaleNormal="100" workbookViewId="0">
      <pane ySplit="4" topLeftCell="A61" activePane="bottomLeft" state="frozen"/>
      <selection activeCell="P1" sqref="P1"/>
      <selection pane="bottomLeft" activeCell="L61" sqref="L6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44" t="s">
        <v>41</v>
      </c>
      <c r="B3" s="44"/>
      <c r="C3" s="44"/>
      <c r="D3" s="44"/>
      <c r="E3" s="44"/>
      <c r="F3" s="44" t="s">
        <v>42</v>
      </c>
      <c r="G3" s="44"/>
      <c r="H3" s="44"/>
      <c r="I3" s="44"/>
      <c r="J3" s="44"/>
      <c r="K3" s="44"/>
      <c r="L3" s="13" t="s">
        <v>43</v>
      </c>
      <c r="M3" s="44" t="s">
        <v>44</v>
      </c>
      <c r="N3" s="44"/>
      <c r="O3" s="7"/>
      <c r="P3" s="44" t="s">
        <v>45</v>
      </c>
      <c r="Q3" s="44"/>
      <c r="R3" s="44"/>
      <c r="S3" s="44"/>
      <c r="T3" s="44"/>
      <c r="U3" s="44" t="s">
        <v>46</v>
      </c>
      <c r="V3" s="44"/>
      <c r="W3" s="44"/>
      <c r="X3" s="44"/>
      <c r="Y3" s="44"/>
      <c r="Z3" s="6" t="s">
        <v>47</v>
      </c>
      <c r="AA3" s="44" t="s">
        <v>48</v>
      </c>
      <c r="AB3" s="44"/>
      <c r="AC3" s="44"/>
      <c r="AD3" s="44" t="s">
        <v>264</v>
      </c>
      <c r="AE3" s="45"/>
      <c r="AF3" s="44" t="s">
        <v>265</v>
      </c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4" t="s">
        <v>49</v>
      </c>
      <c r="AR3" s="44"/>
      <c r="AS3" s="44"/>
      <c r="AT3" s="44"/>
      <c r="AU3" s="44" t="s">
        <v>50</v>
      </c>
      <c r="AV3" s="44"/>
      <c r="AW3" s="28"/>
      <c r="AX3" s="28" t="s">
        <v>266</v>
      </c>
      <c r="AY3" s="44" t="s">
        <v>51</v>
      </c>
      <c r="AZ3" s="44"/>
      <c r="BA3" s="44" t="s">
        <v>52</v>
      </c>
      <c r="BB3" s="44"/>
      <c r="BC3" s="44" t="s">
        <v>215</v>
      </c>
      <c r="BD3" s="45"/>
      <c r="BE3" s="45"/>
      <c r="BF3" s="45"/>
      <c r="BG3" s="45"/>
      <c r="BH3" s="45"/>
      <c r="BI3" s="45"/>
      <c r="BJ3" s="45"/>
      <c r="BK3" s="45"/>
      <c r="BL3" s="44" t="s">
        <v>53</v>
      </c>
      <c r="BM3" s="44"/>
      <c r="BN3" s="44"/>
      <c r="BO3" s="6" t="s">
        <v>267</v>
      </c>
      <c r="BP3" s="44" t="s">
        <v>270</v>
      </c>
      <c r="BQ3" s="45"/>
      <c r="BR3" s="44" t="s">
        <v>275</v>
      </c>
      <c r="BS3" s="45"/>
      <c r="BT3" s="45"/>
      <c r="BU3" s="45"/>
      <c r="BV3" s="45"/>
      <c r="BW3" s="45"/>
      <c r="BX3" s="44" t="s">
        <v>280</v>
      </c>
      <c r="BY3" s="45"/>
      <c r="BZ3" s="45"/>
      <c r="CA3" s="45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7"/>
  <sheetViews>
    <sheetView tabSelected="1" topLeftCell="AP1" zoomScale="120" zoomScaleNormal="120" workbookViewId="0">
      <selection activeCell="BU21" sqref="BU21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6" t="s">
        <v>41</v>
      </c>
      <c r="B1" s="46"/>
      <c r="C1" s="46"/>
      <c r="D1" s="46"/>
      <c r="E1" s="46"/>
      <c r="F1" s="46" t="s">
        <v>42</v>
      </c>
      <c r="G1" s="46"/>
      <c r="H1" s="46"/>
      <c r="I1" s="46"/>
      <c r="J1" s="46"/>
      <c r="K1" s="46"/>
      <c r="L1" s="36" t="s">
        <v>43</v>
      </c>
      <c r="M1" s="46" t="s">
        <v>44</v>
      </c>
      <c r="N1" s="46"/>
      <c r="O1" s="36"/>
      <c r="P1" s="46" t="s">
        <v>45</v>
      </c>
      <c r="Q1" s="46"/>
      <c r="R1" s="46"/>
      <c r="S1" s="46"/>
      <c r="T1" s="46"/>
      <c r="U1" s="46" t="s">
        <v>46</v>
      </c>
      <c r="V1" s="46"/>
      <c r="W1" s="46"/>
      <c r="X1" s="46"/>
      <c r="Y1" s="46"/>
      <c r="Z1" s="36" t="s">
        <v>47</v>
      </c>
      <c r="AA1" s="46" t="s">
        <v>48</v>
      </c>
      <c r="AB1" s="46"/>
      <c r="AC1" s="46"/>
      <c r="AD1" s="46" t="s">
        <v>264</v>
      </c>
      <c r="AE1" s="46"/>
      <c r="AF1" s="46" t="s">
        <v>265</v>
      </c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 t="s">
        <v>49</v>
      </c>
      <c r="AR1" s="46"/>
      <c r="AS1" s="46"/>
      <c r="AT1" s="46"/>
      <c r="AU1" s="46" t="s">
        <v>50</v>
      </c>
      <c r="AV1" s="46"/>
      <c r="AW1" s="36"/>
      <c r="AX1" s="36" t="s">
        <v>266</v>
      </c>
      <c r="AY1" s="46" t="s">
        <v>51</v>
      </c>
      <c r="AZ1" s="46"/>
      <c r="BA1" s="46" t="s">
        <v>52</v>
      </c>
      <c r="BB1" s="46"/>
      <c r="BC1" s="46" t="s">
        <v>215</v>
      </c>
      <c r="BD1" s="46"/>
      <c r="BE1" s="46"/>
      <c r="BF1" s="46"/>
      <c r="BG1" s="46"/>
      <c r="BH1" s="46"/>
      <c r="BI1" s="46"/>
      <c r="BJ1" s="46"/>
      <c r="BK1" s="46"/>
      <c r="BL1" s="46" t="s">
        <v>53</v>
      </c>
      <c r="BM1" s="46"/>
      <c r="BN1" s="46"/>
      <c r="BO1" s="36" t="s">
        <v>267</v>
      </c>
      <c r="BP1" s="46" t="s">
        <v>270</v>
      </c>
      <c r="BQ1" s="46"/>
      <c r="BR1" s="46" t="s">
        <v>275</v>
      </c>
      <c r="BS1" s="46"/>
      <c r="BT1" s="46"/>
      <c r="BU1" s="46"/>
      <c r="BV1" s="46"/>
      <c r="BW1" s="46"/>
      <c r="BX1" s="46" t="s">
        <v>280</v>
      </c>
      <c r="BY1" s="46"/>
      <c r="BZ1" s="46"/>
      <c r="CA1" s="46"/>
    </row>
    <row r="2" spans="1:79" x14ac:dyDescent="0.2">
      <c r="A2" s="37" t="s">
        <v>1</v>
      </c>
      <c r="B2" s="37" t="s">
        <v>213</v>
      </c>
      <c r="C2" s="37" t="s">
        <v>214</v>
      </c>
      <c r="D2" s="38" t="s">
        <v>0</v>
      </c>
      <c r="E2" s="38" t="s">
        <v>235</v>
      </c>
      <c r="F2" s="37" t="s">
        <v>2</v>
      </c>
      <c r="G2" s="38" t="s">
        <v>3</v>
      </c>
      <c r="H2" s="38" t="s">
        <v>268</v>
      </c>
      <c r="I2" s="38" t="s">
        <v>4</v>
      </c>
      <c r="J2" s="37" t="s">
        <v>5</v>
      </c>
      <c r="K2" s="38" t="s">
        <v>212</v>
      </c>
      <c r="L2" s="38" t="s">
        <v>7</v>
      </c>
      <c r="M2" s="38" t="s">
        <v>8</v>
      </c>
      <c r="N2" s="37" t="s">
        <v>9</v>
      </c>
      <c r="O2" s="37" t="s">
        <v>10</v>
      </c>
      <c r="P2" s="37" t="s">
        <v>11</v>
      </c>
      <c r="Q2" s="38" t="s">
        <v>12</v>
      </c>
      <c r="R2" s="38" t="s">
        <v>13</v>
      </c>
      <c r="S2" s="38" t="s">
        <v>14</v>
      </c>
      <c r="T2" s="38" t="s">
        <v>15</v>
      </c>
      <c r="U2" s="37" t="s">
        <v>16</v>
      </c>
      <c r="V2" s="37" t="s">
        <v>17</v>
      </c>
      <c r="W2" s="37" t="s">
        <v>18</v>
      </c>
      <c r="X2" s="37" t="s">
        <v>19</v>
      </c>
      <c r="Y2" s="37" t="s">
        <v>20</v>
      </c>
      <c r="Z2" s="37" t="s">
        <v>21</v>
      </c>
      <c r="AA2" s="37" t="s">
        <v>22</v>
      </c>
      <c r="AB2" s="37" t="s">
        <v>23</v>
      </c>
      <c r="AC2" s="37" t="s">
        <v>24</v>
      </c>
      <c r="AD2" s="37" t="s">
        <v>25</v>
      </c>
      <c r="AE2" s="37" t="s">
        <v>26</v>
      </c>
      <c r="AF2" s="37" t="s">
        <v>231</v>
      </c>
      <c r="AG2" s="37" t="s">
        <v>230</v>
      </c>
      <c r="AH2" s="37" t="s">
        <v>245</v>
      </c>
      <c r="AI2" s="37" t="s">
        <v>27</v>
      </c>
      <c r="AJ2" s="37" t="s">
        <v>229</v>
      </c>
      <c r="AK2" s="37" t="s">
        <v>228</v>
      </c>
      <c r="AL2" s="37" t="s">
        <v>227</v>
      </c>
      <c r="AM2" s="37" t="s">
        <v>226</v>
      </c>
      <c r="AN2" s="37" t="s">
        <v>225</v>
      </c>
      <c r="AO2" s="37" t="s">
        <v>224</v>
      </c>
      <c r="AP2" s="37" t="s">
        <v>29</v>
      </c>
      <c r="AQ2" s="37" t="s">
        <v>30</v>
      </c>
      <c r="AR2" s="37" t="s">
        <v>31</v>
      </c>
      <c r="AS2" s="37" t="s">
        <v>32</v>
      </c>
      <c r="AT2" s="37" t="s">
        <v>233</v>
      </c>
      <c r="AU2" s="37" t="s">
        <v>33</v>
      </c>
      <c r="AV2" s="37" t="s">
        <v>34</v>
      </c>
      <c r="AW2" s="37" t="s">
        <v>261</v>
      </c>
      <c r="AX2" s="37" t="s">
        <v>260</v>
      </c>
      <c r="AY2" s="37" t="s">
        <v>35</v>
      </c>
      <c r="AZ2" s="37" t="s">
        <v>36</v>
      </c>
      <c r="BA2" s="37" t="s">
        <v>37</v>
      </c>
      <c r="BB2" s="37" t="s">
        <v>38</v>
      </c>
      <c r="BC2" s="37" t="s">
        <v>216</v>
      </c>
      <c r="BD2" s="37" t="s">
        <v>223</v>
      </c>
      <c r="BE2" s="37" t="s">
        <v>222</v>
      </c>
      <c r="BF2" s="37" t="s">
        <v>221</v>
      </c>
      <c r="BG2" s="37" t="s">
        <v>220</v>
      </c>
      <c r="BH2" s="37" t="s">
        <v>281</v>
      </c>
      <c r="BI2" s="37" t="s">
        <v>219</v>
      </c>
      <c r="BJ2" s="37" t="s">
        <v>218</v>
      </c>
      <c r="BK2" s="37" t="s">
        <v>217</v>
      </c>
      <c r="BL2" s="37" t="s">
        <v>232</v>
      </c>
      <c r="BM2" s="37" t="s">
        <v>39</v>
      </c>
      <c r="BN2" s="37" t="s">
        <v>40</v>
      </c>
      <c r="BO2" s="37" t="s">
        <v>259</v>
      </c>
      <c r="BP2" s="37" t="s">
        <v>255</v>
      </c>
      <c r="BQ2" s="37" t="s">
        <v>256</v>
      </c>
      <c r="BR2" s="37" t="s">
        <v>257</v>
      </c>
      <c r="BS2" s="37" t="s">
        <v>258</v>
      </c>
      <c r="BT2" s="37" t="s">
        <v>271</v>
      </c>
      <c r="BU2" s="37" t="s">
        <v>272</v>
      </c>
      <c r="BV2" s="37" t="s">
        <v>273</v>
      </c>
      <c r="BW2" s="37" t="s">
        <v>274</v>
      </c>
      <c r="BX2" s="37" t="s">
        <v>276</v>
      </c>
      <c r="BY2" s="37" t="s">
        <v>277</v>
      </c>
      <c r="BZ2" s="37" t="s">
        <v>278</v>
      </c>
      <c r="CA2" s="37" t="s">
        <v>279</v>
      </c>
    </row>
    <row r="3" spans="1:79" x14ac:dyDescent="0.2">
      <c r="A3" s="4" t="str">
        <f ca="1">IF($D3="", "", INDIRECT("$D6"))</f>
        <v/>
      </c>
      <c r="B3" s="23"/>
      <c r="C3" s="9"/>
      <c r="D3" s="35"/>
      <c r="E3" s="33"/>
      <c r="F3" s="8" t="str">
        <f>IF(OR($G3="Primary Debulking", $G3="Laparoscopic Biopsy"), "0", IF($G3="Interval Debulking", "1", ""))</f>
        <v/>
      </c>
      <c r="G3" s="35"/>
      <c r="H3" s="12"/>
      <c r="I3" s="35"/>
      <c r="J3" s="8"/>
      <c r="K3" s="35"/>
      <c r="L3" s="35"/>
      <c r="M3" s="35" t="s">
        <v>176</v>
      </c>
      <c r="N3" s="39"/>
      <c r="O3" s="12"/>
      <c r="P3" s="17" t="str">
        <f ca="1">IF($H3="", "", INDIRECT("$H6"))</f>
        <v/>
      </c>
      <c r="Q3" s="35"/>
      <c r="R3" s="35"/>
      <c r="S3" s="35"/>
      <c r="T3" s="35"/>
      <c r="U3" s="31"/>
      <c r="V3" s="31"/>
      <c r="W3" s="8"/>
      <c r="X3" s="10"/>
      <c r="Y3" s="10"/>
      <c r="Z3" s="10"/>
      <c r="AA3" s="10"/>
      <c r="AB3" s="10"/>
      <c r="AC3" s="10"/>
      <c r="AD3" s="10"/>
      <c r="AE3" s="10"/>
      <c r="AF3" s="17" t="str">
        <f ca="1">IF($H3="", "", INDIRECT("$H6"))</f>
        <v/>
      </c>
      <c r="AG3" s="8" t="str">
        <f ca="1">IF($AF3="", "", "IGO")</f>
        <v/>
      </c>
      <c r="AH3" s="10"/>
      <c r="AI3" s="8" t="str">
        <f t="shared" ref="AI3:AI67" ca="1" si="0">IF($AF3="", "", "5000")</f>
        <v/>
      </c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6"/>
      <c r="AV3" s="10"/>
      <c r="AW3" s="10"/>
      <c r="AX3" s="10"/>
      <c r="AY3" s="10"/>
      <c r="AZ3" s="10"/>
      <c r="BA3" s="10"/>
      <c r="BB3" s="10"/>
      <c r="BC3" s="16"/>
      <c r="BD3" s="8" t="str">
        <f>IF($BC3="", "", "IGO")</f>
        <v/>
      </c>
      <c r="BE3" s="10"/>
      <c r="BF3" s="10"/>
      <c r="BG3" s="10"/>
      <c r="BH3" s="10"/>
      <c r="BI3" s="10"/>
      <c r="BJ3" s="10"/>
      <c r="BK3" s="10"/>
      <c r="BL3" s="16"/>
      <c r="BM3" s="10"/>
      <c r="BN3" s="10"/>
      <c r="BO3" s="35"/>
      <c r="BP3" s="12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</row>
    <row r="4" spans="1:79" x14ac:dyDescent="0.2">
      <c r="A4" s="4" t="str">
        <f ca="1">IF($D4="", "", INDIRECT("$D7"))</f>
        <v/>
      </c>
      <c r="B4" s="23"/>
      <c r="C4" s="9"/>
      <c r="D4" s="35"/>
      <c r="E4" s="33"/>
      <c r="F4" s="8" t="str">
        <f t="shared" ref="F4:F67" si="1">IF(OR($G4="Primary Debulking", $G4="Laparoscopic Biopsy"), "0", IF($G4="Interval Debulking", "1", ""))</f>
        <v/>
      </c>
      <c r="G4" s="35"/>
      <c r="H4" s="12"/>
      <c r="I4" s="35"/>
      <c r="J4" s="8" t="str">
        <f t="shared" ref="J4:J67" si="2">IF($D4="", "", "Main")</f>
        <v/>
      </c>
      <c r="K4" s="35"/>
      <c r="L4" s="35" t="s">
        <v>167</v>
      </c>
      <c r="M4" s="35"/>
      <c r="N4" s="8"/>
      <c r="O4" s="40"/>
      <c r="P4" s="17" t="str">
        <f ca="1">IF($H4="", "", INDIRECT("$H7"))</f>
        <v/>
      </c>
      <c r="Q4" s="35"/>
      <c r="R4" s="35"/>
      <c r="S4" s="35"/>
      <c r="T4" s="35"/>
      <c r="U4" s="31"/>
      <c r="V4" s="31"/>
      <c r="W4" s="8"/>
      <c r="X4" s="10"/>
      <c r="Y4" s="10"/>
      <c r="Z4" s="10"/>
      <c r="AA4" s="10"/>
      <c r="AB4" s="10"/>
      <c r="AC4" s="10"/>
      <c r="AD4" s="10"/>
      <c r="AE4" s="10"/>
      <c r="AF4" s="17" t="str">
        <f ca="1">IF($H4="", "", INDIRECT("$H7"))</f>
        <v/>
      </c>
      <c r="AG4" s="8" t="str">
        <f ca="1">IF($AF4="", "", "IGO")</f>
        <v/>
      </c>
      <c r="AH4" s="10"/>
      <c r="AI4" s="8" t="str">
        <f t="shared" ca="1" si="0"/>
        <v/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6"/>
      <c r="AV4" s="10"/>
      <c r="AW4" s="10"/>
      <c r="AX4" s="35"/>
      <c r="AY4" s="10"/>
      <c r="AZ4" s="10"/>
      <c r="BA4" s="10"/>
      <c r="BB4" s="10"/>
      <c r="BC4" s="16"/>
      <c r="BD4" s="8" t="str">
        <f t="shared" ref="BD4:BD67" si="3">IF($BC4="", "", "IGO")</f>
        <v/>
      </c>
      <c r="BE4" s="10"/>
      <c r="BF4" s="10"/>
      <c r="BG4" s="10"/>
      <c r="BH4" s="10"/>
      <c r="BI4" s="10"/>
      <c r="BJ4" s="10"/>
      <c r="BK4" s="10"/>
      <c r="BL4" s="16"/>
      <c r="BM4" s="10"/>
      <c r="BN4" s="10"/>
      <c r="BO4" s="35"/>
      <c r="BP4" s="12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</row>
    <row r="5" spans="1:79" x14ac:dyDescent="0.2">
      <c r="A5" s="4" t="str">
        <f ca="1">IF($D5="", "", INDIRECT("$D8"))</f>
        <v/>
      </c>
      <c r="B5" s="23"/>
      <c r="C5" s="9"/>
      <c r="D5" s="35"/>
      <c r="E5" s="33"/>
      <c r="F5" s="8" t="str">
        <f t="shared" si="1"/>
        <v/>
      </c>
      <c r="G5" s="35"/>
      <c r="H5" s="12"/>
      <c r="I5" s="35"/>
      <c r="J5" s="8" t="str">
        <f t="shared" si="2"/>
        <v/>
      </c>
      <c r="K5" s="35"/>
      <c r="L5" s="35"/>
      <c r="M5" s="35"/>
      <c r="N5" s="8"/>
      <c r="O5" s="12"/>
      <c r="P5" s="17" t="str">
        <f ca="1">IF($H5="", "", INDIRECT("$H8"))</f>
        <v/>
      </c>
      <c r="Q5" s="35"/>
      <c r="R5" s="35"/>
      <c r="S5" s="35"/>
      <c r="T5" s="35" t="s">
        <v>188</v>
      </c>
      <c r="U5" s="41"/>
      <c r="V5" s="41"/>
      <c r="W5" s="39"/>
      <c r="X5" s="39"/>
      <c r="Y5" s="39"/>
      <c r="Z5" s="10"/>
      <c r="AA5" s="10"/>
      <c r="AB5" s="10"/>
      <c r="AC5" s="10"/>
      <c r="AD5" s="10"/>
      <c r="AE5" s="10"/>
      <c r="AF5" s="17" t="str">
        <f ca="1">IF($H5="", "", INDIRECT("$H8"))</f>
        <v/>
      </c>
      <c r="AG5" s="8" t="str">
        <f t="shared" ref="AG5:AG68" ca="1" si="4">IF($AF5="", "", "IGO")</f>
        <v/>
      </c>
      <c r="AH5" s="10"/>
      <c r="AI5" s="8" t="str">
        <f t="shared" ca="1" si="0"/>
        <v/>
      </c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6"/>
      <c r="AV5" s="10"/>
      <c r="AW5" s="10"/>
      <c r="AX5" s="10"/>
      <c r="AY5" s="10"/>
      <c r="AZ5" s="10"/>
      <c r="BA5" s="10"/>
      <c r="BB5" s="10"/>
      <c r="BC5" s="16"/>
      <c r="BD5" s="8" t="str">
        <f t="shared" si="3"/>
        <v/>
      </c>
      <c r="BE5" s="10"/>
      <c r="BF5" s="10"/>
      <c r="BG5" s="10"/>
      <c r="BH5" s="10"/>
      <c r="BI5" s="10"/>
      <c r="BJ5" s="10"/>
      <c r="BK5" s="10"/>
      <c r="BL5" s="16"/>
      <c r="BM5" s="10"/>
      <c r="BN5" s="10"/>
      <c r="BO5" s="35"/>
      <c r="BP5" s="12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</row>
    <row r="6" spans="1:79" x14ac:dyDescent="0.2">
      <c r="A6" s="4" t="str">
        <f ca="1">IF($D6="", "", INDIRECT("$D9"))</f>
        <v/>
      </c>
      <c r="B6" s="23"/>
      <c r="C6" s="9"/>
      <c r="D6" s="35"/>
      <c r="E6" s="33"/>
      <c r="F6" s="8" t="str">
        <f t="shared" si="1"/>
        <v/>
      </c>
      <c r="G6" s="35"/>
      <c r="H6" s="12"/>
      <c r="I6" s="35"/>
      <c r="J6" s="8" t="str">
        <f t="shared" si="2"/>
        <v/>
      </c>
      <c r="K6" s="35"/>
      <c r="L6" s="35"/>
      <c r="M6" s="35"/>
      <c r="N6" s="8"/>
      <c r="O6" s="12"/>
      <c r="P6" s="17" t="str">
        <f ca="1">IF($H6="", "", INDIRECT("$H9"))</f>
        <v/>
      </c>
      <c r="Q6" s="35"/>
      <c r="R6" s="35"/>
      <c r="S6" s="35"/>
      <c r="T6" s="35"/>
      <c r="U6" s="31"/>
      <c r="V6" s="31"/>
      <c r="W6" s="8"/>
      <c r="X6" s="10"/>
      <c r="Y6" s="10" t="s">
        <v>189</v>
      </c>
      <c r="Z6" s="39"/>
      <c r="AA6" s="10"/>
      <c r="AB6" s="10"/>
      <c r="AC6" s="10"/>
      <c r="AD6" s="10"/>
      <c r="AE6" s="10"/>
      <c r="AF6" s="17" t="str">
        <f ca="1">IF($H6="", "", INDIRECT("$H9"))</f>
        <v/>
      </c>
      <c r="AG6" s="8" t="str">
        <f t="shared" ca="1" si="4"/>
        <v/>
      </c>
      <c r="AH6" s="10"/>
      <c r="AI6" s="8" t="str">
        <f t="shared" ca="1" si="0"/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 t="shared" si="3"/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" t="str">
        <f ca="1">IF($D7="", "", INDIRECT("$D10"))</f>
        <v/>
      </c>
      <c r="B7" s="23"/>
      <c r="C7" s="9"/>
      <c r="D7" s="35"/>
      <c r="E7" s="33"/>
      <c r="F7" s="8" t="str">
        <f t="shared" si="1"/>
        <v/>
      </c>
      <c r="G7" s="35"/>
      <c r="H7" s="12"/>
      <c r="I7" s="35"/>
      <c r="J7" s="8" t="str">
        <f t="shared" si="2"/>
        <v/>
      </c>
      <c r="K7" s="35"/>
      <c r="L7" s="35"/>
      <c r="M7" s="35"/>
      <c r="N7" s="8"/>
      <c r="O7" s="12"/>
      <c r="P7" s="17" t="str">
        <f ca="1">IF($H7="", "", INDIRECT("$H10"))</f>
        <v/>
      </c>
      <c r="Q7" s="35"/>
      <c r="R7" s="35"/>
      <c r="S7" s="35"/>
      <c r="T7" s="35"/>
      <c r="U7" s="31"/>
      <c r="V7" s="31"/>
      <c r="W7" s="8"/>
      <c r="X7" s="10"/>
      <c r="Y7" s="10"/>
      <c r="Z7" s="10" t="s">
        <v>193</v>
      </c>
      <c r="AA7" s="39"/>
      <c r="AB7" s="39"/>
      <c r="AC7" s="39"/>
      <c r="AD7" s="10"/>
      <c r="AE7" s="10"/>
      <c r="AF7" s="17" t="str">
        <f ca="1">IF($H7="", "", INDIRECT("$H10"))</f>
        <v/>
      </c>
      <c r="AG7" s="8" t="str">
        <f t="shared" ca="1" si="4"/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10"/>
      <c r="AY7" s="10"/>
      <c r="AZ7" s="10"/>
      <c r="BA7" s="10"/>
      <c r="BB7" s="10"/>
      <c r="BC7" s="16"/>
      <c r="BD7" s="8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" t="str">
        <f ca="1">IF($D8="", "", INDIRECT("$D11"))</f>
        <v/>
      </c>
      <c r="B8" s="23"/>
      <c r="C8" s="9"/>
      <c r="D8" s="35"/>
      <c r="E8" s="33"/>
      <c r="F8" s="8" t="str">
        <f t="shared" si="1"/>
        <v/>
      </c>
      <c r="G8" s="35"/>
      <c r="H8" s="12"/>
      <c r="I8" s="35"/>
      <c r="J8" s="8" t="str">
        <f t="shared" si="2"/>
        <v/>
      </c>
      <c r="K8" s="35"/>
      <c r="L8" s="35"/>
      <c r="M8" s="35"/>
      <c r="N8" s="8"/>
      <c r="O8" s="12"/>
      <c r="P8" s="17" t="str">
        <f ca="1">IF($H8="", "", INDIRECT("$H11"))</f>
        <v/>
      </c>
      <c r="Q8" s="35"/>
      <c r="R8" s="35"/>
      <c r="S8" s="35"/>
      <c r="T8" s="35"/>
      <c r="U8" s="31"/>
      <c r="V8" s="31"/>
      <c r="W8" s="8"/>
      <c r="X8" s="10"/>
      <c r="Y8" s="10" t="s">
        <v>189</v>
      </c>
      <c r="Z8" s="10"/>
      <c r="AA8" s="10"/>
      <c r="AB8" s="10"/>
      <c r="AC8" s="10"/>
      <c r="AD8" s="39"/>
      <c r="AE8" s="10"/>
      <c r="AF8" s="17" t="str">
        <f ca="1">IF($H8="", "", INDIRECT("$H11"))</f>
        <v/>
      </c>
      <c r="AG8" s="8" t="str">
        <f t="shared" ca="1" si="4"/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" t="str">
        <f ca="1">IF($D9="", "", INDIRECT("$D12"))</f>
        <v/>
      </c>
      <c r="B9" s="23"/>
      <c r="C9" s="9"/>
      <c r="D9" s="35"/>
      <c r="E9" s="33"/>
      <c r="F9" s="8" t="str">
        <f t="shared" si="1"/>
        <v/>
      </c>
      <c r="G9" s="35"/>
      <c r="H9" s="12"/>
      <c r="I9" s="35"/>
      <c r="J9" s="8" t="str">
        <f t="shared" si="2"/>
        <v/>
      </c>
      <c r="K9" s="35"/>
      <c r="L9" s="35"/>
      <c r="M9" s="35"/>
      <c r="N9" s="8"/>
      <c r="O9" s="16"/>
      <c r="P9" s="17" t="str">
        <f ca="1">IF($H9="", "", INDIRECT("$H12"))</f>
        <v/>
      </c>
      <c r="Q9" s="12"/>
      <c r="R9" s="35"/>
      <c r="S9" s="35"/>
      <c r="T9" s="35"/>
      <c r="U9" s="31"/>
      <c r="V9" s="31"/>
      <c r="W9" s="8"/>
      <c r="X9" s="10"/>
      <c r="Y9" s="10" t="s">
        <v>191</v>
      </c>
      <c r="Z9" s="10"/>
      <c r="AA9" s="10"/>
      <c r="AB9" s="10"/>
      <c r="AC9" s="10"/>
      <c r="AD9" s="39"/>
      <c r="AE9" s="10"/>
      <c r="AF9" s="17" t="str">
        <f ca="1">IF($H9="", "", INDIRECT("$H12"))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" t="str">
        <f ca="1">IF($D10="", "", INDIRECT("$D13"))</f>
        <v/>
      </c>
      <c r="B10" s="23"/>
      <c r="C10" s="9"/>
      <c r="D10" s="35"/>
      <c r="E10" s="33"/>
      <c r="F10" s="8" t="str">
        <f t="shared" si="1"/>
        <v/>
      </c>
      <c r="G10" s="35"/>
      <c r="H10" s="12"/>
      <c r="I10" s="35"/>
      <c r="J10" s="8" t="str">
        <f t="shared" si="2"/>
        <v/>
      </c>
      <c r="K10" s="35"/>
      <c r="L10" s="35"/>
      <c r="M10" s="35"/>
      <c r="N10" s="8"/>
      <c r="O10" s="16"/>
      <c r="P10" s="17" t="str">
        <f ca="1">IF($H10="", "", INDIRECT("$H13"))</f>
        <v/>
      </c>
      <c r="Q10" s="12"/>
      <c r="R10" s="35"/>
      <c r="S10" s="35"/>
      <c r="T10" s="35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 t="s">
        <v>201</v>
      </c>
      <c r="AF10" s="40" t="str">
        <f ca="1">IF($H10="", "", INDIRECT("$H13"))</f>
        <v/>
      </c>
      <c r="AG10" s="39" t="str">
        <f t="shared" ca="1" si="4"/>
        <v/>
      </c>
      <c r="AH10" s="39"/>
      <c r="AI10" s="39" t="str">
        <f t="shared" ca="1" si="0"/>
        <v/>
      </c>
      <c r="AJ10" s="39"/>
      <c r="AK10" s="39"/>
      <c r="AL10" s="39"/>
      <c r="AM10" s="39"/>
      <c r="AN10" s="39"/>
      <c r="AO10" s="39"/>
      <c r="AP10" s="39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27" t="str">
        <f ca="1">IF($D11="", "", INDIRECT("$D14"))</f>
        <v/>
      </c>
      <c r="B11" s="23"/>
      <c r="C11" s="9"/>
      <c r="D11" s="35"/>
      <c r="E11" s="33"/>
      <c r="F11" s="8" t="str">
        <f t="shared" si="1"/>
        <v/>
      </c>
      <c r="G11" s="35"/>
      <c r="H11" s="12"/>
      <c r="I11" s="35"/>
      <c r="J11" s="8" t="str">
        <f t="shared" si="2"/>
        <v/>
      </c>
      <c r="K11" s="35"/>
      <c r="L11" s="35"/>
      <c r="M11" s="35"/>
      <c r="N11" s="8"/>
      <c r="O11" s="10"/>
      <c r="P11" s="17" t="str">
        <f ca="1">IF($H11="", "", INDIRECT("$H14"))</f>
        <v/>
      </c>
      <c r="Q11" s="12"/>
      <c r="R11" s="35"/>
      <c r="S11" s="35"/>
      <c r="T11" s="35" t="s">
        <v>186</v>
      </c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INDIRECT("$H14"))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39"/>
      <c r="AR11" s="39"/>
      <c r="AS11" s="39"/>
      <c r="AT11" s="39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" t="str">
        <f ca="1">IF($D12="", "", INDIRECT("$D15"))</f>
        <v/>
      </c>
      <c r="B12" s="23"/>
      <c r="C12" s="9"/>
      <c r="D12" s="35"/>
      <c r="E12" s="33"/>
      <c r="F12" s="8" t="str">
        <f t="shared" si="1"/>
        <v/>
      </c>
      <c r="G12" s="35"/>
      <c r="H12" s="12"/>
      <c r="I12" s="35"/>
      <c r="J12" s="8" t="str">
        <f t="shared" si="2"/>
        <v/>
      </c>
      <c r="K12" s="35"/>
      <c r="L12" s="35"/>
      <c r="M12" s="35"/>
      <c r="N12" s="8"/>
      <c r="O12" s="10"/>
      <c r="P12" s="17" t="str">
        <f ca="1">IF($H12="", "", INDIRECT("$H15"))</f>
        <v/>
      </c>
      <c r="Q12" s="12"/>
      <c r="R12" s="35"/>
      <c r="S12" s="35"/>
      <c r="T12" s="35" t="s">
        <v>187</v>
      </c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INDIRECT("$H15"))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39"/>
      <c r="AR12" s="39"/>
      <c r="AS12" s="39"/>
      <c r="AT12" s="39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" t="str">
        <f ca="1">IF($D13="", "", INDIRECT("$D16"))</f>
        <v/>
      </c>
      <c r="B13" s="23"/>
      <c r="C13" s="9"/>
      <c r="D13" s="35"/>
      <c r="E13" s="33"/>
      <c r="F13" s="8" t="str">
        <f t="shared" si="1"/>
        <v/>
      </c>
      <c r="G13" s="35"/>
      <c r="H13" s="12"/>
      <c r="I13" s="35"/>
      <c r="J13" s="8" t="str">
        <f t="shared" si="2"/>
        <v/>
      </c>
      <c r="K13" s="35"/>
      <c r="L13" s="35"/>
      <c r="M13" s="35"/>
      <c r="N13" s="8"/>
      <c r="O13" s="10"/>
      <c r="P13" s="17" t="str">
        <f ca="1">IF($H13="", "", INDIRECT("$H16"))</f>
        <v/>
      </c>
      <c r="Q13" s="12"/>
      <c r="R13" s="35"/>
      <c r="S13" s="35"/>
      <c r="T13" s="35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INDIRECT("$H16"))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 t="s">
        <v>286</v>
      </c>
      <c r="AU13" s="40"/>
      <c r="AV13" s="39"/>
      <c r="AW13" s="39"/>
      <c r="AX13" s="42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6"/>
      <c r="BQ13" s="10"/>
      <c r="BR13" s="10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" t="str">
        <f ca="1">IF($D14="", "", INDIRECT("$D17"))</f>
        <v/>
      </c>
      <c r="B14" s="23"/>
      <c r="C14" s="9"/>
      <c r="D14" s="35"/>
      <c r="E14" s="33"/>
      <c r="F14" s="8" t="str">
        <f t="shared" si="1"/>
        <v/>
      </c>
      <c r="G14" s="35"/>
      <c r="H14" s="12"/>
      <c r="I14" s="35"/>
      <c r="J14" s="8" t="str">
        <f t="shared" si="2"/>
        <v/>
      </c>
      <c r="K14" s="35"/>
      <c r="L14" s="35"/>
      <c r="M14" s="35"/>
      <c r="N14" s="8"/>
      <c r="O14" s="10"/>
      <c r="P14" s="17" t="str">
        <f ca="1">IF($H14="", "", INDIRECT("$H17"))</f>
        <v/>
      </c>
      <c r="Q14" s="12"/>
      <c r="R14" s="35"/>
      <c r="S14" s="35"/>
      <c r="T14" s="35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INDIRECT("$H17"))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 t="s">
        <v>262</v>
      </c>
      <c r="AX14" s="39"/>
      <c r="AY14" s="10"/>
      <c r="AZ14" s="10"/>
      <c r="BA14" s="39"/>
      <c r="BB14" s="39"/>
      <c r="BC14" s="40"/>
      <c r="BD14" s="39" t="str">
        <f t="shared" si="3"/>
        <v/>
      </c>
      <c r="BE14" s="39"/>
      <c r="BF14" s="39"/>
      <c r="BG14" s="39"/>
      <c r="BH14" s="39"/>
      <c r="BI14" s="39"/>
      <c r="BJ14" s="39"/>
      <c r="BK14" s="39"/>
      <c r="BL14" s="16"/>
      <c r="BM14" s="10"/>
      <c r="BN14" s="10"/>
      <c r="BO14" s="35"/>
      <c r="BP14" s="16"/>
      <c r="BQ14" s="10"/>
      <c r="BR14" s="10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" t="str">
        <f ca="1">IF($D15="", "", INDIRECT("$D18"))</f>
        <v/>
      </c>
      <c r="B15" s="23"/>
      <c r="C15" s="9"/>
      <c r="D15" s="35"/>
      <c r="E15" s="33"/>
      <c r="F15" s="8" t="str">
        <f t="shared" si="1"/>
        <v/>
      </c>
      <c r="G15" s="35"/>
      <c r="H15" s="12"/>
      <c r="I15" s="35"/>
      <c r="J15" s="8" t="str">
        <f t="shared" si="2"/>
        <v/>
      </c>
      <c r="K15" s="35"/>
      <c r="L15" s="35"/>
      <c r="M15" s="35"/>
      <c r="N15" s="8"/>
      <c r="O15" s="10"/>
      <c r="P15" s="17" t="str">
        <f ca="1">IF($H15="", "", INDIRECT("$H18"))</f>
        <v/>
      </c>
      <c r="Q15" s="12"/>
      <c r="R15" s="35"/>
      <c r="S15" s="35"/>
      <c r="T15" s="35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INDIRECT("$H18"))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 t="s">
        <v>263</v>
      </c>
      <c r="AX15" s="10"/>
      <c r="AY15" s="39"/>
      <c r="AZ15" s="39"/>
      <c r="BA15" s="39"/>
      <c r="BB15" s="39"/>
      <c r="BC15" s="40"/>
      <c r="BD15" s="39" t="str">
        <f t="shared" si="3"/>
        <v/>
      </c>
      <c r="BE15" s="39"/>
      <c r="BF15" s="39"/>
      <c r="BG15" s="39"/>
      <c r="BH15" s="39"/>
      <c r="BI15" s="39"/>
      <c r="BJ15" s="39"/>
      <c r="BK15" s="39"/>
      <c r="BL15" s="16"/>
      <c r="BM15" s="10"/>
      <c r="BN15" s="10"/>
      <c r="BO15" s="35"/>
      <c r="BP15" s="16"/>
      <c r="BQ15" s="10"/>
      <c r="BR15" s="10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" t="str">
        <f ca="1">IF($D16="", "", INDIRECT("$D19"))</f>
        <v/>
      </c>
      <c r="B16" s="23"/>
      <c r="C16" s="9"/>
      <c r="D16" s="35"/>
      <c r="E16" s="33"/>
      <c r="F16" s="8" t="str">
        <f t="shared" si="1"/>
        <v/>
      </c>
      <c r="G16" s="35"/>
      <c r="H16" s="12"/>
      <c r="I16" s="35"/>
      <c r="J16" s="8" t="str">
        <f t="shared" si="2"/>
        <v/>
      </c>
      <c r="K16" s="35"/>
      <c r="L16" s="35"/>
      <c r="M16" s="35"/>
      <c r="N16" s="8"/>
      <c r="O16" s="10"/>
      <c r="P16" s="17" t="str">
        <f ca="1">IF($H16="", "", INDIRECT("$H19"))</f>
        <v/>
      </c>
      <c r="Q16" s="12"/>
      <c r="R16" s="35"/>
      <c r="S16" s="35"/>
      <c r="T16" s="35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INDIRECT("$H19"))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 t="s">
        <v>262</v>
      </c>
      <c r="AX16" s="10"/>
      <c r="AY16" s="10"/>
      <c r="AZ16" s="10"/>
      <c r="BA16" s="42"/>
      <c r="BB16" s="42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" t="str">
        <f ca="1">IF($D17="", "", INDIRECT("$D20"))</f>
        <v/>
      </c>
      <c r="B17" s="23"/>
      <c r="C17" s="9"/>
      <c r="D17" s="35"/>
      <c r="E17" s="33"/>
      <c r="F17" s="8" t="str">
        <f t="shared" si="1"/>
        <v/>
      </c>
      <c r="G17" s="35"/>
      <c r="H17" s="12"/>
      <c r="I17" s="35"/>
      <c r="J17" s="8" t="str">
        <f t="shared" si="2"/>
        <v/>
      </c>
      <c r="K17" s="35"/>
      <c r="L17" s="35"/>
      <c r="M17" s="35"/>
      <c r="N17" s="8"/>
      <c r="O17" s="10"/>
      <c r="P17" s="17" t="str">
        <f ca="1">IF($H17="", "", INDIRECT("$H20"))</f>
        <v/>
      </c>
      <c r="Q17" s="12"/>
      <c r="R17" s="35"/>
      <c r="S17" s="35"/>
      <c r="T17" s="35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INDIRECT("$H20"))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 t="s">
        <v>263</v>
      </c>
      <c r="AX17" s="10"/>
      <c r="AY17" s="10"/>
      <c r="AZ17" s="10"/>
      <c r="BA17" s="42"/>
      <c r="BB17" s="42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" t="str">
        <f ca="1">IF($D18="", "", INDIRECT("$D21"))</f>
        <v/>
      </c>
      <c r="B18" s="23"/>
      <c r="C18" s="9"/>
      <c r="D18" s="35"/>
      <c r="E18" s="33"/>
      <c r="F18" s="8" t="str">
        <f t="shared" si="1"/>
        <v/>
      </c>
      <c r="G18" s="35"/>
      <c r="H18" s="12"/>
      <c r="I18" s="35"/>
      <c r="J18" s="8" t="str">
        <f t="shared" si="2"/>
        <v/>
      </c>
      <c r="K18" s="35"/>
      <c r="L18" s="35"/>
      <c r="M18" s="35"/>
      <c r="N18" s="8"/>
      <c r="O18" s="10"/>
      <c r="P18" s="17" t="str">
        <f ca="1">IF($H18="", "", INDIRECT("$H21"))</f>
        <v/>
      </c>
      <c r="Q18" s="12"/>
      <c r="R18" s="35"/>
      <c r="S18" s="35"/>
      <c r="T18" s="35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INDIRECT("$H21"))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 t="s">
        <v>262</v>
      </c>
      <c r="AX18" s="10"/>
      <c r="AY18" s="10"/>
      <c r="AZ18" s="10"/>
      <c r="BA18" s="10"/>
      <c r="BB18" s="10"/>
      <c r="BC18" s="43"/>
      <c r="BD18" s="42" t="str">
        <f t="shared" si="3"/>
        <v/>
      </c>
      <c r="BE18" s="42"/>
      <c r="BF18" s="42"/>
      <c r="BG18" s="42"/>
      <c r="BH18" s="42"/>
      <c r="BI18" s="42"/>
      <c r="BJ18" s="42"/>
      <c r="BK18" s="10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" t="str">
        <f ca="1">IF($D19="", "", INDIRECT("$D22"))</f>
        <v/>
      </c>
      <c r="B19" s="23"/>
      <c r="C19" s="9"/>
      <c r="D19" s="35"/>
      <c r="E19" s="33"/>
      <c r="F19" s="8" t="str">
        <f t="shared" si="1"/>
        <v/>
      </c>
      <c r="G19" s="35"/>
      <c r="H19" s="12"/>
      <c r="I19" s="35"/>
      <c r="J19" s="8" t="str">
        <f t="shared" si="2"/>
        <v/>
      </c>
      <c r="K19" s="35"/>
      <c r="L19" s="35"/>
      <c r="M19" s="35"/>
      <c r="N19" s="8"/>
      <c r="O19" s="10"/>
      <c r="P19" s="17" t="str">
        <f ca="1">IF($H19="", "", INDIRECT("$H22"))</f>
        <v/>
      </c>
      <c r="Q19" s="12"/>
      <c r="R19" s="35"/>
      <c r="S19" s="35"/>
      <c r="T19" s="35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INDIRECT("$H22"))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 t="s">
        <v>263</v>
      </c>
      <c r="AX19" s="10"/>
      <c r="AY19" s="10"/>
      <c r="AZ19" s="10"/>
      <c r="BA19" s="10"/>
      <c r="BB19" s="10"/>
      <c r="BC19" s="43"/>
      <c r="BD19" s="42" t="str">
        <f t="shared" si="3"/>
        <v/>
      </c>
      <c r="BE19" s="42"/>
      <c r="BF19" s="42"/>
      <c r="BG19" s="42"/>
      <c r="BH19" s="42"/>
      <c r="BI19" s="42"/>
      <c r="BJ19" s="42"/>
      <c r="BK19" s="10"/>
      <c r="BL19" s="16"/>
      <c r="BM19" s="10"/>
      <c r="BN19" s="10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" t="str">
        <f ca="1">IF($D20="", "", INDIRECT("$D23"))</f>
        <v/>
      </c>
      <c r="B20" s="23"/>
      <c r="C20" s="9"/>
      <c r="D20" s="35"/>
      <c r="E20" s="33"/>
      <c r="F20" s="8" t="str">
        <f t="shared" si="1"/>
        <v/>
      </c>
      <c r="G20" s="35"/>
      <c r="H20" s="12"/>
      <c r="I20" s="35"/>
      <c r="J20" s="8" t="str">
        <f t="shared" si="2"/>
        <v/>
      </c>
      <c r="K20" s="35"/>
      <c r="L20" s="35"/>
      <c r="M20" s="35"/>
      <c r="N20" s="8"/>
      <c r="O20" s="10"/>
      <c r="P20" s="17" t="str">
        <f ca="1">IF($H20="", "", INDIRECT("$H23"))</f>
        <v/>
      </c>
      <c r="Q20" s="12"/>
      <c r="R20" s="35"/>
      <c r="S20" s="35"/>
      <c r="T20" s="35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INDIRECT("$H23"))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 t="s">
        <v>234</v>
      </c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40"/>
      <c r="BM20" s="39"/>
      <c r="BN20" s="39"/>
      <c r="BO20" s="35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" t="str">
        <f ca="1">IF($D21="", "", INDIRECT("$D24"))</f>
        <v/>
      </c>
      <c r="B21" s="23"/>
      <c r="C21" s="9"/>
      <c r="D21" s="35"/>
      <c r="E21" s="33"/>
      <c r="F21" s="8" t="str">
        <f t="shared" si="1"/>
        <v/>
      </c>
      <c r="G21" s="35"/>
      <c r="H21" s="12"/>
      <c r="I21" s="35"/>
      <c r="J21" s="8" t="str">
        <f t="shared" si="2"/>
        <v/>
      </c>
      <c r="K21" s="35"/>
      <c r="L21" s="35"/>
      <c r="M21" s="35"/>
      <c r="N21" s="8"/>
      <c r="O21" s="10"/>
      <c r="P21" s="17" t="str">
        <f ca="1">IF($H21="", "", INDIRECT("$H24"))</f>
        <v/>
      </c>
      <c r="Q21" s="12"/>
      <c r="R21" s="35"/>
      <c r="S21" s="35"/>
      <c r="T21" s="35"/>
      <c r="U21" s="31"/>
      <c r="V21" s="31"/>
      <c r="W21" s="8"/>
      <c r="X21" s="10"/>
      <c r="Y21" s="10" t="s">
        <v>190</v>
      </c>
      <c r="Z21" s="10"/>
      <c r="AA21" s="10"/>
      <c r="AB21" s="10"/>
      <c r="AC21" s="10"/>
      <c r="AD21" s="10"/>
      <c r="AE21" s="10"/>
      <c r="AF21" s="17" t="str">
        <f ca="1">IF($H21="", "", INDIRECT("$H24"))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9"/>
      <c r="BP21" s="16"/>
      <c r="BQ21" s="10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" t="str">
        <f ca="1">IF($D22="", "", INDIRECT("$D25"))</f>
        <v/>
      </c>
      <c r="B22" s="23"/>
      <c r="C22" s="9"/>
      <c r="D22" s="35"/>
      <c r="E22" s="33"/>
      <c r="F22" s="8" t="str">
        <f t="shared" si="1"/>
        <v/>
      </c>
      <c r="G22" s="35"/>
      <c r="H22" s="12"/>
      <c r="I22" s="35"/>
      <c r="J22" s="8" t="str">
        <f t="shared" si="2"/>
        <v/>
      </c>
      <c r="K22" s="35"/>
      <c r="L22" s="35"/>
      <c r="M22" s="35"/>
      <c r="N22" s="8"/>
      <c r="O22" s="10"/>
      <c r="P22" s="17" t="str">
        <f ca="1">IF($H22="", "", INDIRECT("$H25"))</f>
        <v/>
      </c>
      <c r="Q22" s="12"/>
      <c r="R22" s="35"/>
      <c r="S22" s="35"/>
      <c r="T22" s="35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 t="s">
        <v>202</v>
      </c>
      <c r="AF22" s="17" t="str">
        <f ca="1">IF($H22="", "", INDIRECT("$H25"))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5"/>
      <c r="BP22" s="40"/>
      <c r="BQ22" s="39"/>
      <c r="BR22" s="10"/>
      <c r="BS22" s="35"/>
      <c r="BT22" s="35"/>
      <c r="BU22" s="35"/>
      <c r="BV22" s="35"/>
      <c r="BW22" s="35"/>
      <c r="BX22" s="35"/>
      <c r="BY22" s="35"/>
      <c r="BZ22" s="35"/>
      <c r="CA22" s="35"/>
    </row>
    <row r="23" spans="1:79" x14ac:dyDescent="0.2">
      <c r="A23" s="4" t="str">
        <f ca="1">IF($D23="", "", INDIRECT("$D26"))</f>
        <v/>
      </c>
      <c r="B23" s="23"/>
      <c r="C23" s="9"/>
      <c r="D23" s="35"/>
      <c r="E23" s="33"/>
      <c r="F23" s="8" t="str">
        <f t="shared" si="1"/>
        <v/>
      </c>
      <c r="G23" s="35"/>
      <c r="H23" s="12"/>
      <c r="I23" s="35"/>
      <c r="J23" s="8" t="str">
        <f t="shared" si="2"/>
        <v/>
      </c>
      <c r="K23" s="35"/>
      <c r="L23" s="35"/>
      <c r="M23" s="35"/>
      <c r="N23" s="8"/>
      <c r="O23" s="10"/>
      <c r="P23" s="17" t="str">
        <f ca="1">IF($H23="", "", INDIRECT("$H26"))</f>
        <v/>
      </c>
      <c r="Q23" s="12"/>
      <c r="R23" s="35"/>
      <c r="S23" s="35"/>
      <c r="T23" s="35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INDIRECT("$H26"))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5"/>
      <c r="BP23" s="16"/>
      <c r="BQ23" s="10" t="s">
        <v>209</v>
      </c>
      <c r="BR23" s="39"/>
      <c r="BS23" s="39"/>
      <c r="BT23" s="39"/>
      <c r="BU23" s="39"/>
      <c r="BV23" s="39"/>
      <c r="BW23" s="39"/>
      <c r="BX23" s="35"/>
      <c r="BY23" s="35"/>
      <c r="BZ23" s="35"/>
      <c r="CA23" s="35"/>
    </row>
    <row r="24" spans="1:79" x14ac:dyDescent="0.2">
      <c r="A24" s="4" t="str">
        <f ca="1">IF($D24="", "", INDIRECT("$D27"))</f>
        <v/>
      </c>
      <c r="B24" s="23"/>
      <c r="C24" s="9"/>
      <c r="D24" s="35"/>
      <c r="E24" s="33"/>
      <c r="F24" s="8" t="str">
        <f t="shared" si="1"/>
        <v/>
      </c>
      <c r="G24" s="35"/>
      <c r="H24" s="12"/>
      <c r="I24" s="35"/>
      <c r="J24" s="8" t="str">
        <f t="shared" si="2"/>
        <v/>
      </c>
      <c r="K24" s="35"/>
      <c r="L24" s="35"/>
      <c r="M24" s="35"/>
      <c r="N24" s="8"/>
      <c r="O24" s="10"/>
      <c r="P24" s="17" t="str">
        <f ca="1">IF($H24="", "", INDIRECT("$H27"))</f>
        <v/>
      </c>
      <c r="Q24" s="12"/>
      <c r="R24" s="35"/>
      <c r="S24" s="35"/>
      <c r="T24" s="35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INDIRECT("$H27"))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 t="s">
        <v>210</v>
      </c>
      <c r="BR24" s="10"/>
      <c r="BS24" s="35"/>
      <c r="BT24" s="35"/>
      <c r="BU24" s="35"/>
      <c r="BV24" s="35"/>
      <c r="BW24" s="35"/>
      <c r="BX24" s="39"/>
      <c r="BY24" s="39"/>
      <c r="BZ24" s="39"/>
      <c r="CA24" s="39"/>
    </row>
    <row r="25" spans="1:79" x14ac:dyDescent="0.2">
      <c r="A25" s="4" t="str">
        <f ca="1">IF($D25="", "", INDIRECT("$D28"))</f>
        <v/>
      </c>
      <c r="B25" s="23"/>
      <c r="C25" s="9"/>
      <c r="D25" s="35"/>
      <c r="E25" s="33"/>
      <c r="F25" s="8" t="str">
        <f t="shared" si="1"/>
        <v/>
      </c>
      <c r="G25" s="35"/>
      <c r="H25" s="12"/>
      <c r="I25" s="35"/>
      <c r="J25" s="8" t="str">
        <f t="shared" si="2"/>
        <v/>
      </c>
      <c r="K25" s="35"/>
      <c r="L25" s="35"/>
      <c r="M25" s="35"/>
      <c r="N25" s="8"/>
      <c r="O25" s="10"/>
      <c r="P25" s="17" t="str">
        <f ca="1">IF($H25="", "", INDIRECT("$H28"))</f>
        <v/>
      </c>
      <c r="Q25" s="12"/>
      <c r="R25" s="35"/>
      <c r="S25" s="35"/>
      <c r="T25" s="35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INDIRECT("$H28"))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INDIRECT("$D29"))</f>
        <v/>
      </c>
      <c r="B26" s="23"/>
      <c r="C26" s="9"/>
      <c r="D26" s="35"/>
      <c r="E26" s="33"/>
      <c r="F26" s="8" t="str">
        <f t="shared" si="1"/>
        <v/>
      </c>
      <c r="G26" s="35"/>
      <c r="H26" s="12"/>
      <c r="I26" s="35"/>
      <c r="J26" s="8" t="str">
        <f t="shared" si="2"/>
        <v/>
      </c>
      <c r="K26" s="35"/>
      <c r="L26" s="35"/>
      <c r="M26" s="35"/>
      <c r="N26" s="8"/>
      <c r="O26" s="10"/>
      <c r="P26" s="17" t="str">
        <f ca="1">IF($H26="", "", INDIRECT("$H29"))</f>
        <v/>
      </c>
      <c r="Q26" s="12"/>
      <c r="R26" s="35"/>
      <c r="S26" s="35"/>
      <c r="T26" s="35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INDIRECT("$H29"))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0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INDIRECT("$D30"))</f>
        <v/>
      </c>
      <c r="B27" s="23"/>
      <c r="C27" s="9"/>
      <c r="D27" s="35"/>
      <c r="E27" s="33"/>
      <c r="F27" s="8" t="str">
        <f t="shared" si="1"/>
        <v/>
      </c>
      <c r="G27" s="35"/>
      <c r="H27" s="12"/>
      <c r="I27" s="35"/>
      <c r="J27" s="8" t="str">
        <f t="shared" si="2"/>
        <v/>
      </c>
      <c r="K27" s="35"/>
      <c r="L27" s="35"/>
      <c r="M27" s="35"/>
      <c r="N27" s="8"/>
      <c r="O27" s="10"/>
      <c r="P27" s="17" t="str">
        <f ca="1">IF($H27="", "", INDIRECT("$H30"))</f>
        <v/>
      </c>
      <c r="Q27" s="12"/>
      <c r="R27" s="35"/>
      <c r="S27" s="35"/>
      <c r="T27" s="35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INDIRECT("$H30"))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0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INDIRECT("$D31"))</f>
        <v/>
      </c>
      <c r="B28" s="23"/>
      <c r="C28" s="9"/>
      <c r="D28" s="35"/>
      <c r="E28" s="33"/>
      <c r="F28" s="8" t="str">
        <f t="shared" si="1"/>
        <v/>
      </c>
      <c r="G28" s="35"/>
      <c r="H28" s="12"/>
      <c r="I28" s="35"/>
      <c r="J28" s="8" t="str">
        <f t="shared" si="2"/>
        <v/>
      </c>
      <c r="K28" s="35"/>
      <c r="L28" s="35"/>
      <c r="M28" s="35"/>
      <c r="N28" s="8"/>
      <c r="O28" s="10"/>
      <c r="P28" s="17" t="str">
        <f ca="1">IF($H28="", "", INDIRECT("$H31"))</f>
        <v/>
      </c>
      <c r="Q28" s="12"/>
      <c r="R28" s="35"/>
      <c r="S28" s="35"/>
      <c r="T28" s="35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INDIRECT("$H31"))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INDIRECT("$D32"))</f>
        <v/>
      </c>
      <c r="B29" s="23"/>
      <c r="C29" s="9"/>
      <c r="D29" s="35"/>
      <c r="E29" s="33"/>
      <c r="F29" s="8" t="str">
        <f t="shared" si="1"/>
        <v/>
      </c>
      <c r="G29" s="35"/>
      <c r="H29" s="12"/>
      <c r="I29" s="35"/>
      <c r="J29" s="8" t="str">
        <f t="shared" si="2"/>
        <v/>
      </c>
      <c r="K29" s="35"/>
      <c r="L29" s="35"/>
      <c r="M29" s="35"/>
      <c r="N29" s="8"/>
      <c r="O29" s="10"/>
      <c r="P29" s="17" t="str">
        <f ca="1">IF($H29="", "", INDIRECT("$H32"))</f>
        <v/>
      </c>
      <c r="Q29" s="12"/>
      <c r="R29" s="35"/>
      <c r="S29" s="35"/>
      <c r="T29" s="35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INDIRECT("$H32"))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INDIRECT("$D33"))</f>
        <v/>
      </c>
      <c r="B30" s="23"/>
      <c r="C30" s="9"/>
      <c r="D30" s="35"/>
      <c r="E30" s="33"/>
      <c r="F30" s="8" t="str">
        <f t="shared" si="1"/>
        <v/>
      </c>
      <c r="G30" s="35"/>
      <c r="H30" s="12"/>
      <c r="I30" s="35"/>
      <c r="J30" s="8" t="str">
        <f t="shared" si="2"/>
        <v/>
      </c>
      <c r="K30" s="35"/>
      <c r="L30" s="35"/>
      <c r="M30" s="35"/>
      <c r="N30" s="8"/>
      <c r="O30" s="10"/>
      <c r="P30" s="17" t="str">
        <f ca="1">IF($H30="", "", INDIRECT("$H33"))</f>
        <v/>
      </c>
      <c r="Q30" s="12"/>
      <c r="R30" s="35"/>
      <c r="S30" s="35"/>
      <c r="T30" s="35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INDIRECT("$H33"))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INDIRECT("$D34"))</f>
        <v/>
      </c>
      <c r="B31" s="23"/>
      <c r="C31" s="9"/>
      <c r="D31" s="35"/>
      <c r="E31" s="33"/>
      <c r="F31" s="8" t="str">
        <f t="shared" si="1"/>
        <v/>
      </c>
      <c r="G31" s="35"/>
      <c r="H31" s="12"/>
      <c r="I31" s="35"/>
      <c r="J31" s="8" t="str">
        <f t="shared" si="2"/>
        <v/>
      </c>
      <c r="K31" s="35"/>
      <c r="L31" s="35"/>
      <c r="M31" s="35"/>
      <c r="N31" s="8"/>
      <c r="O31" s="10"/>
      <c r="P31" s="17" t="str">
        <f ca="1">IF($H31="", "", INDIRECT("$H34"))</f>
        <v/>
      </c>
      <c r="Q31" s="12"/>
      <c r="R31" s="35"/>
      <c r="S31" s="35"/>
      <c r="T31" s="35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INDIRECT("$H34"))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5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INDIRECT("$D35"))</f>
        <v/>
      </c>
      <c r="B32" s="23"/>
      <c r="C32" s="9"/>
      <c r="D32" s="35"/>
      <c r="E32" s="33"/>
      <c r="F32" s="8" t="str">
        <f t="shared" si="1"/>
        <v/>
      </c>
      <c r="G32" s="35"/>
      <c r="H32" s="12"/>
      <c r="I32" s="35"/>
      <c r="J32" s="8" t="str">
        <f t="shared" si="2"/>
        <v/>
      </c>
      <c r="K32" s="35"/>
      <c r="L32" s="35"/>
      <c r="M32" s="35"/>
      <c r="N32" s="8"/>
      <c r="O32" s="10"/>
      <c r="P32" s="17" t="str">
        <f ca="1">IF($H32="", "", INDIRECT("$H35"))</f>
        <v/>
      </c>
      <c r="Q32" s="12"/>
      <c r="R32" s="35"/>
      <c r="S32" s="35"/>
      <c r="T32" s="35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INDIRECT("$H35"))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5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INDIRECT("$D36"))</f>
        <v/>
      </c>
      <c r="B33" s="23"/>
      <c r="C33" s="9"/>
      <c r="D33" s="35"/>
      <c r="E33" s="33"/>
      <c r="F33" s="8" t="str">
        <f t="shared" si="1"/>
        <v/>
      </c>
      <c r="G33" s="35"/>
      <c r="H33" s="12"/>
      <c r="I33" s="35"/>
      <c r="J33" s="8" t="str">
        <f t="shared" si="2"/>
        <v/>
      </c>
      <c r="K33" s="35"/>
      <c r="L33" s="35"/>
      <c r="M33" s="35"/>
      <c r="N33" s="8"/>
      <c r="O33" s="10"/>
      <c r="P33" s="17" t="str">
        <f ca="1">IF($H33="", "", INDIRECT("$H36"))</f>
        <v/>
      </c>
      <c r="Q33" s="12"/>
      <c r="R33" s="35"/>
      <c r="S33" s="35"/>
      <c r="T33" s="35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INDIRECT("$H36"))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5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INDIRECT("$D37"))</f>
        <v/>
      </c>
      <c r="B34" s="23"/>
      <c r="C34" s="9"/>
      <c r="D34" s="35"/>
      <c r="E34" s="33"/>
      <c r="F34" s="8" t="str">
        <f t="shared" si="1"/>
        <v/>
      </c>
      <c r="G34" s="35"/>
      <c r="H34" s="12"/>
      <c r="I34" s="35"/>
      <c r="J34" s="8" t="str">
        <f t="shared" si="2"/>
        <v/>
      </c>
      <c r="K34" s="35"/>
      <c r="L34" s="35"/>
      <c r="M34" s="35"/>
      <c r="N34" s="8"/>
      <c r="O34" s="10"/>
      <c r="P34" s="17" t="str">
        <f ca="1">IF($H34="", "", INDIRECT("$H37"))</f>
        <v/>
      </c>
      <c r="Q34" s="12"/>
      <c r="R34" s="35"/>
      <c r="S34" s="35"/>
      <c r="T34" s="35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INDIRECT("$H37"))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5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INDIRECT("$D38"))</f>
        <v/>
      </c>
      <c r="B35" s="23"/>
      <c r="C35" s="9"/>
      <c r="D35" s="35"/>
      <c r="E35" s="33"/>
      <c r="F35" s="8" t="str">
        <f t="shared" si="1"/>
        <v/>
      </c>
      <c r="G35" s="35"/>
      <c r="H35" s="12"/>
      <c r="I35" s="35"/>
      <c r="J35" s="8" t="str">
        <f t="shared" si="2"/>
        <v/>
      </c>
      <c r="K35" s="35"/>
      <c r="L35" s="35"/>
      <c r="M35" s="35"/>
      <c r="N35" s="8"/>
      <c r="O35" s="10"/>
      <c r="P35" s="17" t="str">
        <f ca="1">IF($H35="", "", INDIRECT("$H38"))</f>
        <v/>
      </c>
      <c r="Q35" s="12"/>
      <c r="R35" s="35"/>
      <c r="S35" s="35"/>
      <c r="T35" s="35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INDIRECT("$H38"))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5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INDIRECT("$D39"))</f>
        <v/>
      </c>
      <c r="B36" s="23"/>
      <c r="C36" s="9"/>
      <c r="D36" s="35"/>
      <c r="E36" s="35"/>
      <c r="F36" s="8" t="str">
        <f t="shared" si="1"/>
        <v/>
      </c>
      <c r="G36" s="35"/>
      <c r="H36" s="12"/>
      <c r="I36" s="35"/>
      <c r="J36" s="8" t="str">
        <f t="shared" si="2"/>
        <v/>
      </c>
      <c r="K36" s="35"/>
      <c r="L36" s="35"/>
      <c r="M36" s="35" t="str">
        <f t="shared" ref="M36:M97" si="5">IF($L36="no", "HGSC", "")</f>
        <v/>
      </c>
      <c r="N36" s="8"/>
      <c r="O36" s="10"/>
      <c r="P36" s="17" t="str">
        <f ca="1">IF($H36="", "", INDIRECT("$H39"))</f>
        <v/>
      </c>
      <c r="Q36" s="12"/>
      <c r="R36" s="35"/>
      <c r="S36" s="35"/>
      <c r="T36" s="35"/>
      <c r="U36" s="10"/>
      <c r="V36" s="10"/>
      <c r="W36" s="8" t="str">
        <f t="shared" ref="W36:W97" si="6">IF($T36="Single Cell Suspension", "15", "")</f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INDIRECT("$H39"))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INDIRECT("$D40"))</f>
        <v/>
      </c>
      <c r="B37" s="23"/>
      <c r="C37" s="9"/>
      <c r="D37" s="35"/>
      <c r="E37" s="35"/>
      <c r="F37" s="8" t="str">
        <f t="shared" si="1"/>
        <v/>
      </c>
      <c r="G37" s="35"/>
      <c r="H37" s="12"/>
      <c r="I37" s="35"/>
      <c r="J37" s="8" t="str">
        <f t="shared" si="2"/>
        <v/>
      </c>
      <c r="K37" s="35"/>
      <c r="L37" s="35"/>
      <c r="M37" s="35" t="str">
        <f t="shared" si="5"/>
        <v/>
      </c>
      <c r="N37" s="8"/>
      <c r="O37" s="10"/>
      <c r="P37" s="17" t="str">
        <f ca="1">IF($H37="", "", INDIRECT("$H40"))</f>
        <v/>
      </c>
      <c r="Q37" s="12"/>
      <c r="R37" s="35"/>
      <c r="S37" s="35"/>
      <c r="T37" s="35"/>
      <c r="U37" s="10"/>
      <c r="V37" s="10"/>
      <c r="W37" s="8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INDIRECT("$H40"))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INDIRECT("$D41"))</f>
        <v/>
      </c>
      <c r="B38" s="23"/>
      <c r="C38" s="9"/>
      <c r="D38" s="35"/>
      <c r="E38" s="9"/>
      <c r="F38" s="8" t="str">
        <f t="shared" si="1"/>
        <v/>
      </c>
      <c r="G38" s="35"/>
      <c r="H38" s="12"/>
      <c r="I38" s="35"/>
      <c r="J38" s="8" t="str">
        <f t="shared" si="2"/>
        <v/>
      </c>
      <c r="K38" s="35"/>
      <c r="L38" s="35"/>
      <c r="M38" s="35" t="str">
        <f t="shared" si="5"/>
        <v/>
      </c>
      <c r="N38" s="8"/>
      <c r="O38" s="10"/>
      <c r="P38" s="17" t="str">
        <f ca="1">IF($H38="", "", INDIRECT("$H41"))</f>
        <v/>
      </c>
      <c r="Q38" s="12"/>
      <c r="R38" s="35"/>
      <c r="S38" s="35"/>
      <c r="T38" s="35"/>
      <c r="U38" s="10"/>
      <c r="V38" s="10"/>
      <c r="W38" s="8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INDIRECT("$H41"))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INDIRECT("$D42"))</f>
        <v/>
      </c>
      <c r="B39" s="23"/>
      <c r="C39" s="9"/>
      <c r="D39" s="35"/>
      <c r="E39" s="9"/>
      <c r="F39" s="8" t="str">
        <f t="shared" si="1"/>
        <v/>
      </c>
      <c r="G39" s="35"/>
      <c r="H39" s="12"/>
      <c r="I39" s="35"/>
      <c r="J39" s="8" t="str">
        <f t="shared" si="2"/>
        <v/>
      </c>
      <c r="K39" s="35"/>
      <c r="L39" s="35"/>
      <c r="M39" s="35" t="str">
        <f t="shared" si="5"/>
        <v/>
      </c>
      <c r="N39" s="8"/>
      <c r="O39" s="10"/>
      <c r="P39" s="17" t="str">
        <f ca="1">IF($H39="", "", INDIRECT("$H42"))</f>
        <v/>
      </c>
      <c r="Q39" s="12"/>
      <c r="R39" s="35"/>
      <c r="S39" s="35"/>
      <c r="T39" s="35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INDIRECT("$H42"))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INDIRECT("$D43"))</f>
        <v/>
      </c>
      <c r="B40" s="23"/>
      <c r="C40" s="9"/>
      <c r="D40" s="35"/>
      <c r="E40" s="9"/>
      <c r="F40" s="8" t="str">
        <f t="shared" si="1"/>
        <v/>
      </c>
      <c r="G40" s="35"/>
      <c r="H40" s="12"/>
      <c r="I40" s="35"/>
      <c r="J40" s="8" t="str">
        <f t="shared" si="2"/>
        <v/>
      </c>
      <c r="K40" s="35"/>
      <c r="L40" s="35"/>
      <c r="M40" s="35" t="str">
        <f t="shared" si="5"/>
        <v/>
      </c>
      <c r="N40" s="8"/>
      <c r="O40" s="10"/>
      <c r="P40" s="17" t="str">
        <f ca="1">IF($H40="", "", INDIRECT("$H43"))</f>
        <v/>
      </c>
      <c r="Q40" s="12"/>
      <c r="R40" s="35"/>
      <c r="S40" s="35"/>
      <c r="T40" s="35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INDIRECT("$H43"))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INDIRECT("$D44"))</f>
        <v/>
      </c>
      <c r="B41" s="23"/>
      <c r="C41" s="9"/>
      <c r="D41" s="35"/>
      <c r="E41" s="9"/>
      <c r="F41" s="8" t="str">
        <f t="shared" si="1"/>
        <v/>
      </c>
      <c r="G41" s="35"/>
      <c r="H41" s="12"/>
      <c r="I41" s="35"/>
      <c r="J41" s="8" t="str">
        <f t="shared" si="2"/>
        <v/>
      </c>
      <c r="K41" s="35"/>
      <c r="L41" s="35"/>
      <c r="M41" s="35" t="str">
        <f t="shared" si="5"/>
        <v/>
      </c>
      <c r="N41" s="8"/>
      <c r="O41" s="10"/>
      <c r="P41" s="17" t="str">
        <f ca="1">IF($H41="", "", INDIRECT("$H44"))</f>
        <v/>
      </c>
      <c r="Q41" s="12"/>
      <c r="R41" s="35"/>
      <c r="S41" s="35"/>
      <c r="T41" s="35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INDIRECT("$H44"))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INDIRECT("$D45"))</f>
        <v/>
      </c>
      <c r="B42" s="23"/>
      <c r="C42" s="9"/>
      <c r="D42" s="35"/>
      <c r="E42" s="9"/>
      <c r="F42" s="8" t="str">
        <f t="shared" si="1"/>
        <v/>
      </c>
      <c r="G42" s="35"/>
      <c r="H42" s="12"/>
      <c r="I42" s="35"/>
      <c r="J42" s="8" t="str">
        <f t="shared" si="2"/>
        <v/>
      </c>
      <c r="K42" s="35"/>
      <c r="L42" s="35"/>
      <c r="M42" s="35" t="str">
        <f t="shared" si="5"/>
        <v/>
      </c>
      <c r="N42" s="8"/>
      <c r="O42" s="10"/>
      <c r="P42" s="17" t="str">
        <f ca="1">IF($H42="", "", INDIRECT("$H45"))</f>
        <v/>
      </c>
      <c r="Q42" s="12"/>
      <c r="R42" s="35"/>
      <c r="S42" s="35"/>
      <c r="T42" s="35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INDIRECT("$H45"))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INDIRECT("$D46"))</f>
        <v/>
      </c>
      <c r="B43" s="23"/>
      <c r="C43" s="9"/>
      <c r="D43" s="35"/>
      <c r="E43" s="9"/>
      <c r="F43" s="8" t="str">
        <f t="shared" si="1"/>
        <v/>
      </c>
      <c r="G43" s="35"/>
      <c r="H43" s="12"/>
      <c r="I43" s="35"/>
      <c r="J43" s="8" t="str">
        <f t="shared" si="2"/>
        <v/>
      </c>
      <c r="K43" s="35"/>
      <c r="L43" s="35"/>
      <c r="M43" s="35" t="str">
        <f t="shared" si="5"/>
        <v/>
      </c>
      <c r="N43" s="8"/>
      <c r="O43" s="10"/>
      <c r="P43" s="17" t="str">
        <f ca="1">IF($H43="", "", INDIRECT("$H46"))</f>
        <v/>
      </c>
      <c r="Q43" s="12"/>
      <c r="R43" s="35"/>
      <c r="S43" s="35"/>
      <c r="T43" s="35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INDIRECT("$H46"))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INDIRECT("$D47"))</f>
        <v/>
      </c>
      <c r="B44" s="23"/>
      <c r="C44" s="9"/>
      <c r="D44" s="35"/>
      <c r="E44" s="9"/>
      <c r="F44" s="8" t="str">
        <f t="shared" si="1"/>
        <v/>
      </c>
      <c r="G44" s="35"/>
      <c r="H44" s="12"/>
      <c r="I44" s="35"/>
      <c r="J44" s="8" t="str">
        <f t="shared" si="2"/>
        <v/>
      </c>
      <c r="K44" s="35"/>
      <c r="L44" s="35"/>
      <c r="M44" s="35" t="str">
        <f t="shared" si="5"/>
        <v/>
      </c>
      <c r="N44" s="8"/>
      <c r="O44" s="10"/>
      <c r="P44" s="17" t="str">
        <f ca="1">IF($H44="", "", INDIRECT("$H47"))</f>
        <v/>
      </c>
      <c r="Q44" s="12"/>
      <c r="R44" s="35"/>
      <c r="S44" s="35"/>
      <c r="T44" s="35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INDIRECT("$H47"))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INDIRECT("$D48"))</f>
        <v/>
      </c>
      <c r="B45" s="23"/>
      <c r="C45" s="9"/>
      <c r="D45" s="35"/>
      <c r="E45" s="9"/>
      <c r="F45" s="8" t="str">
        <f t="shared" si="1"/>
        <v/>
      </c>
      <c r="G45" s="35"/>
      <c r="H45" s="12"/>
      <c r="I45" s="35"/>
      <c r="J45" s="8" t="str">
        <f t="shared" si="2"/>
        <v/>
      </c>
      <c r="K45" s="35"/>
      <c r="L45" s="35"/>
      <c r="M45" s="35" t="str">
        <f t="shared" si="5"/>
        <v/>
      </c>
      <c r="N45" s="8"/>
      <c r="O45" s="10"/>
      <c r="P45" s="17" t="str">
        <f ca="1">IF($H45="", "", INDIRECT("$H48"))</f>
        <v/>
      </c>
      <c r="Q45" s="12"/>
      <c r="R45" s="35"/>
      <c r="S45" s="35"/>
      <c r="T45" s="35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INDIRECT("$H48"))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INDIRECT("$D49"))</f>
        <v/>
      </c>
      <c r="B46" s="23"/>
      <c r="C46" s="9"/>
      <c r="D46" s="35"/>
      <c r="E46" s="9"/>
      <c r="F46" s="8" t="str">
        <f t="shared" si="1"/>
        <v/>
      </c>
      <c r="G46" s="35"/>
      <c r="H46" s="12"/>
      <c r="I46" s="35"/>
      <c r="J46" s="8" t="str">
        <f t="shared" si="2"/>
        <v/>
      </c>
      <c r="K46" s="35"/>
      <c r="L46" s="35"/>
      <c r="M46" s="35" t="str">
        <f t="shared" si="5"/>
        <v/>
      </c>
      <c r="N46" s="8"/>
      <c r="O46" s="10"/>
      <c r="P46" s="17" t="str">
        <f ca="1">IF($H46="", "", INDIRECT("$H49"))</f>
        <v/>
      </c>
      <c r="Q46" s="12"/>
      <c r="R46" s="35"/>
      <c r="S46" s="35"/>
      <c r="T46" s="35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INDIRECT("$H49"))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INDIRECT("$D50"))</f>
        <v/>
      </c>
      <c r="B47" s="23"/>
      <c r="C47" s="9"/>
      <c r="D47" s="35"/>
      <c r="E47" s="9"/>
      <c r="F47" s="8" t="str">
        <f t="shared" si="1"/>
        <v/>
      </c>
      <c r="G47" s="35"/>
      <c r="H47" s="12"/>
      <c r="I47" s="35"/>
      <c r="J47" s="8" t="str">
        <f t="shared" si="2"/>
        <v/>
      </c>
      <c r="K47" s="35"/>
      <c r="L47" s="35"/>
      <c r="M47" s="35" t="str">
        <f t="shared" si="5"/>
        <v/>
      </c>
      <c r="N47" s="8"/>
      <c r="O47" s="10"/>
      <c r="P47" s="17" t="str">
        <f ca="1">IF($H47="", "", INDIRECT("$H50"))</f>
        <v/>
      </c>
      <c r="Q47" s="12"/>
      <c r="R47" s="35"/>
      <c r="S47" s="35"/>
      <c r="T47" s="35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INDIRECT("$H50"))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INDIRECT("$D51"))</f>
        <v/>
      </c>
      <c r="B48" s="23"/>
      <c r="C48" s="9"/>
      <c r="D48" s="35"/>
      <c r="E48" s="9"/>
      <c r="F48" s="8" t="str">
        <f t="shared" si="1"/>
        <v/>
      </c>
      <c r="G48" s="35"/>
      <c r="H48" s="12"/>
      <c r="I48" s="35"/>
      <c r="J48" s="8" t="str">
        <f t="shared" si="2"/>
        <v/>
      </c>
      <c r="K48" s="35"/>
      <c r="L48" s="35"/>
      <c r="M48" s="35" t="str">
        <f t="shared" si="5"/>
        <v/>
      </c>
      <c r="N48" s="8"/>
      <c r="O48" s="10"/>
      <c r="P48" s="17" t="str">
        <f ca="1">IF($H48="", "", INDIRECT("$H51"))</f>
        <v/>
      </c>
      <c r="Q48" s="12"/>
      <c r="R48" s="35"/>
      <c r="S48" s="35"/>
      <c r="T48" s="35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INDIRECT("$H51"))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INDIRECT("$D52"))</f>
        <v/>
      </c>
      <c r="B49" s="23"/>
      <c r="C49" s="9"/>
      <c r="D49" s="35"/>
      <c r="E49" s="9"/>
      <c r="F49" s="8" t="str">
        <f t="shared" si="1"/>
        <v/>
      </c>
      <c r="G49" s="35"/>
      <c r="H49" s="12"/>
      <c r="I49" s="35"/>
      <c r="J49" s="8" t="str">
        <f t="shared" si="2"/>
        <v/>
      </c>
      <c r="K49" s="35"/>
      <c r="L49" s="35"/>
      <c r="M49" s="35" t="str">
        <f t="shared" si="5"/>
        <v/>
      </c>
      <c r="N49" s="8"/>
      <c r="O49" s="10"/>
      <c r="P49" s="17" t="str">
        <f ca="1">IF($H49="", "", INDIRECT("$H52"))</f>
        <v/>
      </c>
      <c r="Q49" s="12"/>
      <c r="R49" s="35"/>
      <c r="S49" s="35"/>
      <c r="T49" s="35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INDIRECT("$H52"))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INDIRECT("$D53"))</f>
        <v/>
      </c>
      <c r="B50" s="23"/>
      <c r="C50" s="9"/>
      <c r="D50" s="35"/>
      <c r="E50" s="9"/>
      <c r="F50" s="8" t="str">
        <f t="shared" si="1"/>
        <v/>
      </c>
      <c r="G50" s="35"/>
      <c r="H50" s="12"/>
      <c r="I50" s="35"/>
      <c r="J50" s="8" t="str">
        <f t="shared" si="2"/>
        <v/>
      </c>
      <c r="K50" s="35"/>
      <c r="L50" s="35"/>
      <c r="M50" s="35" t="str">
        <f t="shared" si="5"/>
        <v/>
      </c>
      <c r="N50" s="8"/>
      <c r="O50" s="10"/>
      <c r="P50" s="17" t="str">
        <f ca="1">IF($H50="", "", INDIRECT("$H53"))</f>
        <v/>
      </c>
      <c r="Q50" s="12"/>
      <c r="R50" s="35"/>
      <c r="S50" s="35"/>
      <c r="T50" s="35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INDIRECT("$H53"))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INDIRECT("$D54"))</f>
        <v/>
      </c>
      <c r="B51" s="23"/>
      <c r="C51" s="9"/>
      <c r="D51" s="35"/>
      <c r="E51" s="9"/>
      <c r="F51" s="8" t="str">
        <f t="shared" si="1"/>
        <v/>
      </c>
      <c r="G51" s="35"/>
      <c r="H51" s="12"/>
      <c r="I51" s="35"/>
      <c r="J51" s="8" t="str">
        <f t="shared" si="2"/>
        <v/>
      </c>
      <c r="K51" s="35"/>
      <c r="L51" s="35"/>
      <c r="M51" s="35" t="str">
        <f t="shared" si="5"/>
        <v/>
      </c>
      <c r="N51" s="8"/>
      <c r="O51" s="10"/>
      <c r="P51" s="17" t="str">
        <f ca="1">IF($H51="", "", INDIRECT("$H54"))</f>
        <v/>
      </c>
      <c r="Q51" s="12"/>
      <c r="R51" s="35"/>
      <c r="S51" s="35"/>
      <c r="T51" s="35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INDIRECT("$H54"))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0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INDIRECT("$D55"))</f>
        <v/>
      </c>
      <c r="B52" s="23"/>
      <c r="C52" s="9"/>
      <c r="D52" s="35"/>
      <c r="E52" s="9"/>
      <c r="F52" s="8" t="str">
        <f t="shared" si="1"/>
        <v/>
      </c>
      <c r="G52" s="35"/>
      <c r="H52" s="12"/>
      <c r="I52" s="35"/>
      <c r="J52" s="8" t="str">
        <f t="shared" si="2"/>
        <v/>
      </c>
      <c r="K52" s="35"/>
      <c r="L52" s="35"/>
      <c r="M52" s="35" t="str">
        <f t="shared" si="5"/>
        <v/>
      </c>
      <c r="N52" s="8"/>
      <c r="O52" s="10"/>
      <c r="P52" s="17" t="str">
        <f ca="1">IF($H52="", "", INDIRECT("$H55"))</f>
        <v/>
      </c>
      <c r="Q52" s="12"/>
      <c r="R52" s="35"/>
      <c r="S52" s="35"/>
      <c r="T52" s="35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INDIRECT("$H55"))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0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INDIRECT("$D56"))</f>
        <v/>
      </c>
      <c r="B53" s="23"/>
      <c r="C53" s="9"/>
      <c r="D53" s="35"/>
      <c r="E53" s="15"/>
      <c r="F53" s="8" t="str">
        <f t="shared" si="1"/>
        <v/>
      </c>
      <c r="G53" s="35"/>
      <c r="H53" s="12"/>
      <c r="I53" s="35"/>
      <c r="J53" s="8" t="str">
        <f t="shared" si="2"/>
        <v/>
      </c>
      <c r="K53" s="35"/>
      <c r="L53" s="35"/>
      <c r="M53" s="35" t="str">
        <f t="shared" si="5"/>
        <v/>
      </c>
      <c r="N53" s="8"/>
      <c r="O53" s="10"/>
      <c r="P53" s="17" t="str">
        <f ca="1">IF($H53="", "", INDIRECT("$H56"))</f>
        <v/>
      </c>
      <c r="Q53" s="12"/>
      <c r="R53" s="35"/>
      <c r="S53" s="35"/>
      <c r="T53" s="35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INDIRECT("$H56"))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INDIRECT("$D57"))</f>
        <v/>
      </c>
      <c r="B54" s="23"/>
      <c r="C54" s="9"/>
      <c r="D54" s="35"/>
      <c r="E54" s="15"/>
      <c r="F54" s="8" t="str">
        <f t="shared" si="1"/>
        <v/>
      </c>
      <c r="G54" s="35"/>
      <c r="H54" s="12"/>
      <c r="I54" s="35"/>
      <c r="J54" s="8" t="str">
        <f t="shared" si="2"/>
        <v/>
      </c>
      <c r="K54" s="35"/>
      <c r="L54" s="35"/>
      <c r="M54" s="35" t="str">
        <f t="shared" si="5"/>
        <v/>
      </c>
      <c r="N54" s="8"/>
      <c r="O54" s="10"/>
      <c r="P54" s="17" t="str">
        <f ca="1">IF($H54="", "", INDIRECT("$H57"))</f>
        <v/>
      </c>
      <c r="Q54" s="12"/>
      <c r="R54" s="35"/>
      <c r="S54" s="35"/>
      <c r="T54" s="35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INDIRECT("$H57"))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INDIRECT("$D58"))</f>
        <v/>
      </c>
      <c r="B55" s="23"/>
      <c r="C55" s="9"/>
      <c r="D55" s="35"/>
      <c r="E55" s="15"/>
      <c r="F55" s="8" t="str">
        <f t="shared" si="1"/>
        <v/>
      </c>
      <c r="G55" s="35"/>
      <c r="H55" s="12"/>
      <c r="I55" s="35"/>
      <c r="J55" s="8" t="str">
        <f t="shared" si="2"/>
        <v/>
      </c>
      <c r="K55" s="35"/>
      <c r="L55" s="35"/>
      <c r="M55" s="35" t="str">
        <f t="shared" si="5"/>
        <v/>
      </c>
      <c r="N55" s="8"/>
      <c r="O55" s="10"/>
      <c r="P55" s="17" t="str">
        <f ca="1">IF($H55="", "", INDIRECT("$H58"))</f>
        <v/>
      </c>
      <c r="Q55" s="12"/>
      <c r="R55" s="35"/>
      <c r="S55" s="35"/>
      <c r="T55" s="35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INDIRECT("$H58"))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INDIRECT("$D59"))</f>
        <v/>
      </c>
      <c r="B56" s="23"/>
      <c r="C56" s="9"/>
      <c r="D56" s="35"/>
      <c r="E56" s="15"/>
      <c r="F56" s="8" t="str">
        <f t="shared" si="1"/>
        <v/>
      </c>
      <c r="G56" s="35"/>
      <c r="H56" s="12"/>
      <c r="I56" s="35"/>
      <c r="J56" s="8" t="str">
        <f t="shared" si="2"/>
        <v/>
      </c>
      <c r="K56" s="35"/>
      <c r="L56" s="35"/>
      <c r="M56" s="35" t="str">
        <f t="shared" si="5"/>
        <v/>
      </c>
      <c r="N56" s="8"/>
      <c r="O56" s="10"/>
      <c r="P56" s="17" t="str">
        <f ca="1">IF($H56="", "", INDIRECT("$H59"))</f>
        <v/>
      </c>
      <c r="Q56" s="12"/>
      <c r="R56" s="35"/>
      <c r="S56" s="35"/>
      <c r="T56" s="35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INDIRECT("$H59"))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INDIRECT("$D60"))</f>
        <v/>
      </c>
      <c r="B57" s="23"/>
      <c r="C57" s="9"/>
      <c r="D57" s="35"/>
      <c r="E57" s="15"/>
      <c r="F57" s="8" t="str">
        <f t="shared" si="1"/>
        <v/>
      </c>
      <c r="G57" s="35"/>
      <c r="H57" s="12"/>
      <c r="I57" s="35"/>
      <c r="J57" s="8" t="str">
        <f t="shared" si="2"/>
        <v/>
      </c>
      <c r="K57" s="35"/>
      <c r="L57" s="35"/>
      <c r="M57" s="35" t="str">
        <f t="shared" si="5"/>
        <v/>
      </c>
      <c r="N57" s="8"/>
      <c r="O57" s="10"/>
      <c r="P57" s="17" t="str">
        <f ca="1">IF($H57="", "", INDIRECT("$H60"))</f>
        <v/>
      </c>
      <c r="Q57" s="12"/>
      <c r="R57" s="35"/>
      <c r="S57" s="35"/>
      <c r="T57" s="35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INDIRECT("$H60"))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INDIRECT("$D61"))</f>
        <v/>
      </c>
      <c r="B58" s="23"/>
      <c r="C58" s="9"/>
      <c r="D58" s="35"/>
      <c r="E58" s="15"/>
      <c r="F58" s="8" t="str">
        <f t="shared" si="1"/>
        <v/>
      </c>
      <c r="G58" s="35"/>
      <c r="H58" s="12"/>
      <c r="I58" s="35"/>
      <c r="J58" s="8" t="str">
        <f t="shared" si="2"/>
        <v/>
      </c>
      <c r="K58" s="35"/>
      <c r="L58" s="35"/>
      <c r="M58" s="35" t="str">
        <f t="shared" si="5"/>
        <v/>
      </c>
      <c r="N58" s="8"/>
      <c r="O58" s="10"/>
      <c r="P58" s="17" t="str">
        <f ca="1">IF($H58="", "", INDIRECT("$H61"))</f>
        <v/>
      </c>
      <c r="Q58" s="12"/>
      <c r="R58" s="35"/>
      <c r="S58" s="35"/>
      <c r="T58" s="35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INDIRECT("$H61"))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INDIRECT("$D62"))</f>
        <v/>
      </c>
      <c r="B59" s="23"/>
      <c r="C59" s="9"/>
      <c r="D59" s="35"/>
      <c r="E59" s="35"/>
      <c r="F59" s="8" t="str">
        <f t="shared" si="1"/>
        <v/>
      </c>
      <c r="G59" s="35"/>
      <c r="H59" s="12"/>
      <c r="I59" s="35"/>
      <c r="J59" s="8" t="str">
        <f t="shared" si="2"/>
        <v/>
      </c>
      <c r="K59" s="35"/>
      <c r="L59" s="35"/>
      <c r="M59" s="35" t="str">
        <f t="shared" si="5"/>
        <v/>
      </c>
      <c r="N59" s="8"/>
      <c r="O59" s="10"/>
      <c r="P59" s="17" t="str">
        <f ca="1">IF($H59="", "", INDIRECT("$H62"))</f>
        <v/>
      </c>
      <c r="Q59" s="12"/>
      <c r="R59" s="35"/>
      <c r="S59" s="35"/>
      <c r="T59" s="35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INDIRECT("$H62"))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INDIRECT("$D63"))</f>
        <v/>
      </c>
      <c r="B60" s="23"/>
      <c r="C60" s="9"/>
      <c r="D60" s="35"/>
      <c r="E60" s="35"/>
      <c r="F60" s="8" t="str">
        <f t="shared" si="1"/>
        <v/>
      </c>
      <c r="G60" s="35"/>
      <c r="H60" s="12"/>
      <c r="I60" s="35"/>
      <c r="J60" s="8" t="str">
        <f t="shared" si="2"/>
        <v/>
      </c>
      <c r="K60" s="35"/>
      <c r="L60" s="35"/>
      <c r="M60" s="35" t="str">
        <f t="shared" si="5"/>
        <v/>
      </c>
      <c r="N60" s="8"/>
      <c r="O60" s="10"/>
      <c r="P60" s="17" t="str">
        <f ca="1">IF($H60="", "", INDIRECT("$H63"))</f>
        <v/>
      </c>
      <c r="Q60" s="12"/>
      <c r="R60" s="35"/>
      <c r="S60" s="35"/>
      <c r="T60" s="35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INDIRECT("$H63"))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INDIRECT("$D64"))</f>
        <v/>
      </c>
      <c r="B61" s="23"/>
      <c r="C61" s="9"/>
      <c r="D61" s="35"/>
      <c r="E61" s="35"/>
      <c r="F61" s="8" t="str">
        <f t="shared" si="1"/>
        <v/>
      </c>
      <c r="G61" s="35"/>
      <c r="H61" s="12"/>
      <c r="I61" s="35"/>
      <c r="J61" s="8" t="str">
        <f t="shared" si="2"/>
        <v/>
      </c>
      <c r="K61" s="35"/>
      <c r="L61" s="35"/>
      <c r="M61" s="35" t="str">
        <f t="shared" si="5"/>
        <v/>
      </c>
      <c r="N61" s="8"/>
      <c r="O61" s="10"/>
      <c r="P61" s="17" t="str">
        <f ca="1">IF($H61="", "", INDIRECT("$H64"))</f>
        <v/>
      </c>
      <c r="Q61" s="12"/>
      <c r="R61" s="35"/>
      <c r="S61" s="35"/>
      <c r="T61" s="35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INDIRECT("$H64"))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INDIRECT("$D65"))</f>
        <v/>
      </c>
      <c r="B62" s="23"/>
      <c r="C62" s="9"/>
      <c r="D62" s="35"/>
      <c r="E62" s="35"/>
      <c r="F62" s="8" t="str">
        <f t="shared" si="1"/>
        <v/>
      </c>
      <c r="G62" s="35"/>
      <c r="H62" s="12"/>
      <c r="I62" s="35"/>
      <c r="J62" s="8" t="str">
        <f t="shared" si="2"/>
        <v/>
      </c>
      <c r="K62" s="35"/>
      <c r="L62" s="35"/>
      <c r="M62" s="35" t="str">
        <f t="shared" si="5"/>
        <v/>
      </c>
      <c r="N62" s="8"/>
      <c r="O62" s="10"/>
      <c r="P62" s="17" t="str">
        <f ca="1">IF($H62="", "", INDIRECT("$H65"))</f>
        <v/>
      </c>
      <c r="Q62" s="12"/>
      <c r="R62" s="35"/>
      <c r="S62" s="35"/>
      <c r="T62" s="35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INDIRECT("$H65"))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INDIRECT("$D66"))</f>
        <v/>
      </c>
      <c r="B63" s="23"/>
      <c r="C63" s="9"/>
      <c r="D63" s="35"/>
      <c r="E63" s="9"/>
      <c r="F63" s="8" t="str">
        <f t="shared" si="1"/>
        <v/>
      </c>
      <c r="G63" s="35"/>
      <c r="H63" s="12"/>
      <c r="I63" s="35"/>
      <c r="J63" s="8" t="str">
        <f t="shared" si="2"/>
        <v/>
      </c>
      <c r="K63" s="35"/>
      <c r="L63" s="35"/>
      <c r="M63" s="35" t="str">
        <f t="shared" si="5"/>
        <v/>
      </c>
      <c r="N63" s="8"/>
      <c r="O63" s="10"/>
      <c r="P63" s="17" t="str">
        <f ca="1">IF($H63="", "", INDIRECT("$H66"))</f>
        <v/>
      </c>
      <c r="Q63" s="12"/>
      <c r="R63" s="35"/>
      <c r="S63" s="35"/>
      <c r="T63" s="35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INDIRECT("$H66"))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INDIRECT("$D67"))</f>
        <v/>
      </c>
      <c r="B64" s="23"/>
      <c r="C64" s="9"/>
      <c r="D64" s="35"/>
      <c r="E64" s="9"/>
      <c r="F64" s="8" t="str">
        <f t="shared" si="1"/>
        <v/>
      </c>
      <c r="G64" s="35"/>
      <c r="H64" s="12"/>
      <c r="I64" s="35"/>
      <c r="J64" s="8" t="str">
        <f t="shared" si="2"/>
        <v/>
      </c>
      <c r="K64" s="35"/>
      <c r="L64" s="35"/>
      <c r="M64" s="35" t="str">
        <f t="shared" si="5"/>
        <v/>
      </c>
      <c r="N64" s="8"/>
      <c r="O64" s="10"/>
      <c r="P64" s="17" t="str">
        <f ca="1">IF($H64="", "", INDIRECT("$H67"))</f>
        <v/>
      </c>
      <c r="Q64" s="12"/>
      <c r="R64" s="35"/>
      <c r="S64" s="35"/>
      <c r="T64" s="35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INDIRECT("$H67"))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INDIRECT("$D68"))</f>
        <v/>
      </c>
      <c r="B65" s="23"/>
      <c r="C65" s="9"/>
      <c r="D65" s="35"/>
      <c r="E65" s="9"/>
      <c r="F65" s="8" t="str">
        <f t="shared" si="1"/>
        <v/>
      </c>
      <c r="G65" s="35"/>
      <c r="H65" s="12"/>
      <c r="I65" s="35"/>
      <c r="J65" s="8" t="str">
        <f t="shared" si="2"/>
        <v/>
      </c>
      <c r="K65" s="35"/>
      <c r="L65" s="35"/>
      <c r="M65" s="35" t="str">
        <f t="shared" si="5"/>
        <v/>
      </c>
      <c r="N65" s="8"/>
      <c r="O65" s="10"/>
      <c r="P65" s="17" t="str">
        <f ca="1">IF($H65="", "", INDIRECT("$H68"))</f>
        <v/>
      </c>
      <c r="Q65" s="12"/>
      <c r="R65" s="35"/>
      <c r="S65" s="35"/>
      <c r="T65" s="35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INDIRECT("$H68"))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INDIRECT("$D69"))</f>
        <v/>
      </c>
      <c r="B66" s="23"/>
      <c r="C66" s="9"/>
      <c r="D66" s="35"/>
      <c r="E66" s="9"/>
      <c r="F66" s="8" t="str">
        <f t="shared" si="1"/>
        <v/>
      </c>
      <c r="G66" s="35"/>
      <c r="H66" s="12"/>
      <c r="I66" s="35"/>
      <c r="J66" s="8" t="str">
        <f t="shared" si="2"/>
        <v/>
      </c>
      <c r="K66" s="35"/>
      <c r="L66" s="35"/>
      <c r="M66" s="35" t="str">
        <f t="shared" si="5"/>
        <v/>
      </c>
      <c r="N66" s="8"/>
      <c r="O66" s="10"/>
      <c r="P66" s="17" t="str">
        <f ca="1">IF($H66="", "", INDIRECT("$H69"))</f>
        <v/>
      </c>
      <c r="Q66" s="12"/>
      <c r="R66" s="35"/>
      <c r="S66" s="35"/>
      <c r="T66" s="35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INDIRECT("$H69"))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INDIRECT("$D70"))</f>
        <v/>
      </c>
      <c r="B67" s="23"/>
      <c r="C67" s="9"/>
      <c r="D67" s="35"/>
      <c r="E67" s="9"/>
      <c r="F67" s="8" t="str">
        <f t="shared" si="1"/>
        <v/>
      </c>
      <c r="G67" s="35"/>
      <c r="H67" s="12"/>
      <c r="I67" s="35"/>
      <c r="J67" s="8" t="str">
        <f t="shared" si="2"/>
        <v/>
      </c>
      <c r="K67" s="35"/>
      <c r="L67" s="35"/>
      <c r="M67" s="35" t="str">
        <f t="shared" si="5"/>
        <v/>
      </c>
      <c r="N67" s="8"/>
      <c r="O67" s="10"/>
      <c r="P67" s="17" t="str">
        <f ca="1">IF($H67="", "", INDIRECT("$H70"))</f>
        <v/>
      </c>
      <c r="Q67" s="12"/>
      <c r="R67" s="35"/>
      <c r="S67" s="35"/>
      <c r="T67" s="35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INDIRECT("$H70"))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INDIRECT("$D71"))</f>
        <v/>
      </c>
      <c r="B68" s="23"/>
      <c r="C68" s="9"/>
      <c r="D68" s="35"/>
      <c r="E68" s="9"/>
      <c r="F68" s="8" t="str">
        <f t="shared" ref="F68:F97" si="7">IF(OR($G68="Primary Debulking", $G68="Laparoscopic Biopsy"), "0", IF($G68="Interval Debulking", "1", ""))</f>
        <v/>
      </c>
      <c r="G68" s="35"/>
      <c r="H68" s="12"/>
      <c r="I68" s="35"/>
      <c r="J68" s="8" t="str">
        <f t="shared" ref="J68:J97" si="8">IF($D68="", "", "Main")</f>
        <v/>
      </c>
      <c r="K68" s="35"/>
      <c r="L68" s="35"/>
      <c r="M68" s="35" t="str">
        <f t="shared" si="5"/>
        <v/>
      </c>
      <c r="N68" s="8"/>
      <c r="O68" s="10"/>
      <c r="P68" s="17" t="str">
        <f ca="1">IF($H68="", "", INDIRECT("$H71"))</f>
        <v/>
      </c>
      <c r="Q68" s="12"/>
      <c r="R68" s="35"/>
      <c r="S68" s="35"/>
      <c r="T68" s="35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INDIRECT("$H71"))</f>
        <v/>
      </c>
      <c r="AG68" s="8" t="str">
        <f t="shared" ca="1" si="4"/>
        <v/>
      </c>
      <c r="AH68" s="10"/>
      <c r="AI68" s="8" t="str">
        <f t="shared" ref="AI68:AI97" ca="1" si="9">IF($AF68="", "", "5000")</f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ref="BD68:BD97" si="10">IF($BC68="", "", "IGO")</f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INDIRECT("$D72"))</f>
        <v/>
      </c>
      <c r="B69" s="23"/>
      <c r="C69" s="9"/>
      <c r="D69" s="35"/>
      <c r="E69" s="9"/>
      <c r="F69" s="8" t="str">
        <f t="shared" si="7"/>
        <v/>
      </c>
      <c r="G69" s="35"/>
      <c r="H69" s="12"/>
      <c r="I69" s="35"/>
      <c r="J69" s="8" t="str">
        <f t="shared" si="8"/>
        <v/>
      </c>
      <c r="K69" s="35"/>
      <c r="L69" s="35"/>
      <c r="M69" s="35" t="str">
        <f t="shared" si="5"/>
        <v/>
      </c>
      <c r="N69" s="8"/>
      <c r="O69" s="10"/>
      <c r="P69" s="17" t="str">
        <f ca="1">IF($H69="", "", INDIRECT("$H72"))</f>
        <v/>
      </c>
      <c r="Q69" s="12"/>
      <c r="R69" s="35"/>
      <c r="S69" s="35"/>
      <c r="T69" s="35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INDIRECT("$H72"))</f>
        <v/>
      </c>
      <c r="AG69" s="8" t="str">
        <f t="shared" ref="AG69:AG97" ca="1" si="11">IF($AF69="", "", "IGO")</f>
        <v/>
      </c>
      <c r="AH69" s="10"/>
      <c r="AI69" s="8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INDIRECT("$D73"))</f>
        <v/>
      </c>
      <c r="B70" s="23"/>
      <c r="C70" s="9"/>
      <c r="D70" s="35"/>
      <c r="E70" s="9"/>
      <c r="F70" s="8" t="str">
        <f t="shared" si="7"/>
        <v/>
      </c>
      <c r="G70" s="35"/>
      <c r="H70" s="12"/>
      <c r="I70" s="35"/>
      <c r="J70" s="8" t="str">
        <f t="shared" si="8"/>
        <v/>
      </c>
      <c r="K70" s="35"/>
      <c r="L70" s="35"/>
      <c r="M70" s="35" t="str">
        <f t="shared" si="5"/>
        <v/>
      </c>
      <c r="N70" s="8"/>
      <c r="O70" s="10"/>
      <c r="P70" s="17" t="str">
        <f ca="1">IF($H70="", "", INDIRECT("$H73"))</f>
        <v/>
      </c>
      <c r="Q70" s="12"/>
      <c r="R70" s="35"/>
      <c r="S70" s="35"/>
      <c r="T70" s="35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INDIRECT("$H73"))</f>
        <v/>
      </c>
      <c r="AG70" s="8" t="str">
        <f t="shared" ca="1" si="11"/>
        <v/>
      </c>
      <c r="AH70" s="10"/>
      <c r="AI70" s="8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INDIRECT("$D74"))</f>
        <v/>
      </c>
      <c r="B71" s="23"/>
      <c r="C71" s="9"/>
      <c r="D71" s="35"/>
      <c r="E71" s="9"/>
      <c r="F71" s="8" t="str">
        <f t="shared" si="7"/>
        <v/>
      </c>
      <c r="G71" s="35"/>
      <c r="H71" s="12"/>
      <c r="I71" s="35"/>
      <c r="J71" s="8" t="str">
        <f t="shared" si="8"/>
        <v/>
      </c>
      <c r="K71" s="35"/>
      <c r="L71" s="35"/>
      <c r="M71" s="35" t="str">
        <f t="shared" si="5"/>
        <v/>
      </c>
      <c r="N71" s="8"/>
      <c r="O71" s="10"/>
      <c r="P71" s="17" t="str">
        <f ca="1">IF($H71="", "", INDIRECT("$H74"))</f>
        <v/>
      </c>
      <c r="Q71" s="12"/>
      <c r="R71" s="35"/>
      <c r="S71" s="35"/>
      <c r="T71" s="35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INDIRECT("$H74"))</f>
        <v/>
      </c>
      <c r="AG71" s="8" t="str">
        <f t="shared" ca="1" si="11"/>
        <v/>
      </c>
      <c r="AH71" s="10"/>
      <c r="AI71" s="8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INDIRECT("$D75"))</f>
        <v/>
      </c>
      <c r="B72" s="23"/>
      <c r="C72" s="9"/>
      <c r="D72" s="35"/>
      <c r="E72" s="9"/>
      <c r="F72" s="8" t="str">
        <f t="shared" si="7"/>
        <v/>
      </c>
      <c r="G72" s="35"/>
      <c r="H72" s="12"/>
      <c r="I72" s="35"/>
      <c r="J72" s="8" t="str">
        <f t="shared" si="8"/>
        <v/>
      </c>
      <c r="K72" s="35"/>
      <c r="L72" s="35"/>
      <c r="M72" s="35" t="str">
        <f t="shared" si="5"/>
        <v/>
      </c>
      <c r="N72" s="8"/>
      <c r="O72" s="10"/>
      <c r="P72" s="17" t="str">
        <f ca="1">IF($H72="", "", INDIRECT("$H75"))</f>
        <v/>
      </c>
      <c r="Q72" s="12"/>
      <c r="R72" s="35"/>
      <c r="S72" s="35"/>
      <c r="T72" s="35"/>
      <c r="U72" s="10"/>
      <c r="V72" s="10"/>
      <c r="W72" s="8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INDIRECT("$H75"))</f>
        <v/>
      </c>
      <c r="AG72" s="8" t="str">
        <f t="shared" ca="1" si="11"/>
        <v/>
      </c>
      <c r="AH72" s="10"/>
      <c r="AI72" s="8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INDIRECT("$D76"))</f>
        <v/>
      </c>
      <c r="B73" s="23"/>
      <c r="C73" s="9"/>
      <c r="D73" s="35"/>
      <c r="E73" s="9"/>
      <c r="F73" s="8" t="str">
        <f t="shared" si="7"/>
        <v/>
      </c>
      <c r="G73" s="35"/>
      <c r="H73" s="12"/>
      <c r="I73" s="35"/>
      <c r="J73" s="8" t="str">
        <f t="shared" si="8"/>
        <v/>
      </c>
      <c r="K73" s="35"/>
      <c r="L73" s="35"/>
      <c r="M73" s="35" t="str">
        <f t="shared" si="5"/>
        <v/>
      </c>
      <c r="N73" s="8"/>
      <c r="O73" s="10"/>
      <c r="P73" s="17" t="str">
        <f ca="1">IF($H73="", "", INDIRECT("$H76"))</f>
        <v/>
      </c>
      <c r="Q73" s="12"/>
      <c r="R73" s="35"/>
      <c r="S73" s="35"/>
      <c r="T73" s="35"/>
      <c r="U73" s="10"/>
      <c r="V73" s="10"/>
      <c r="W73" s="8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INDIRECT("$H76"))</f>
        <v/>
      </c>
      <c r="AG73" s="8" t="str">
        <f t="shared" ca="1" si="11"/>
        <v/>
      </c>
      <c r="AH73" s="10"/>
      <c r="AI73" s="8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INDIRECT("$D77"))</f>
        <v/>
      </c>
      <c r="B74" s="23"/>
      <c r="C74" s="9"/>
      <c r="D74" s="35"/>
      <c r="E74" s="9"/>
      <c r="F74" s="8" t="str">
        <f t="shared" si="7"/>
        <v/>
      </c>
      <c r="G74" s="35"/>
      <c r="H74" s="12"/>
      <c r="I74" s="35"/>
      <c r="J74" s="8" t="str">
        <f t="shared" si="8"/>
        <v/>
      </c>
      <c r="K74" s="35"/>
      <c r="L74" s="35"/>
      <c r="M74" s="35" t="str">
        <f t="shared" si="5"/>
        <v/>
      </c>
      <c r="N74" s="8"/>
      <c r="O74" s="10"/>
      <c r="P74" s="17" t="str">
        <f ca="1">IF($H74="", "", INDIRECT("$H77"))</f>
        <v/>
      </c>
      <c r="Q74" s="12"/>
      <c r="R74" s="35"/>
      <c r="S74" s="35"/>
      <c r="T74" s="35"/>
      <c r="U74" s="10"/>
      <c r="V74" s="10"/>
      <c r="W74" s="8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INDIRECT("$H77"))</f>
        <v/>
      </c>
      <c r="AG74" s="8" t="str">
        <f t="shared" ca="1" si="11"/>
        <v/>
      </c>
      <c r="AH74" s="10"/>
      <c r="AI74" s="8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INDIRECT("$D78"))</f>
        <v/>
      </c>
      <c r="B75" s="23"/>
      <c r="C75" s="9"/>
      <c r="D75" s="35"/>
      <c r="E75" s="9"/>
      <c r="F75" s="8" t="str">
        <f t="shared" si="7"/>
        <v/>
      </c>
      <c r="G75" s="35"/>
      <c r="H75" s="12"/>
      <c r="I75" s="35"/>
      <c r="J75" s="8" t="str">
        <f t="shared" si="8"/>
        <v/>
      </c>
      <c r="K75" s="35"/>
      <c r="L75" s="35"/>
      <c r="M75" s="35" t="str">
        <f t="shared" si="5"/>
        <v/>
      </c>
      <c r="N75" s="8"/>
      <c r="O75" s="10"/>
      <c r="P75" s="17" t="str">
        <f ca="1">IF($H75="", "", INDIRECT("$H78"))</f>
        <v/>
      </c>
      <c r="Q75" s="12"/>
      <c r="R75" s="35"/>
      <c r="S75" s="35"/>
      <c r="T75" s="35"/>
      <c r="U75" s="10"/>
      <c r="V75" s="10"/>
      <c r="W75" s="8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INDIRECT("$H78"))</f>
        <v/>
      </c>
      <c r="AG75" s="8" t="str">
        <f t="shared" ca="1" si="11"/>
        <v/>
      </c>
      <c r="AH75" s="10"/>
      <c r="AI75" s="8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INDIRECT("$D79"))</f>
        <v/>
      </c>
      <c r="B76" s="23"/>
      <c r="C76" s="9"/>
      <c r="D76" s="35"/>
      <c r="E76" s="9"/>
      <c r="F76" s="8" t="str">
        <f t="shared" si="7"/>
        <v/>
      </c>
      <c r="G76" s="35"/>
      <c r="H76" s="12"/>
      <c r="I76" s="35"/>
      <c r="J76" s="8" t="str">
        <f t="shared" si="8"/>
        <v/>
      </c>
      <c r="K76" s="35"/>
      <c r="L76" s="35"/>
      <c r="M76" s="35" t="str">
        <f t="shared" si="5"/>
        <v/>
      </c>
      <c r="N76" s="8"/>
      <c r="O76" s="10"/>
      <c r="P76" s="17" t="str">
        <f ca="1">IF($H76="", "", INDIRECT("$H79"))</f>
        <v/>
      </c>
      <c r="Q76" s="12"/>
      <c r="R76" s="35"/>
      <c r="S76" s="35"/>
      <c r="T76" s="35"/>
      <c r="U76" s="10"/>
      <c r="V76" s="10"/>
      <c r="W76" s="8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INDIRECT("$H79"))</f>
        <v/>
      </c>
      <c r="AG76" s="8" t="str">
        <f t="shared" ca="1" si="11"/>
        <v/>
      </c>
      <c r="AH76" s="10"/>
      <c r="AI76" s="8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0"/>
      <c r="BD76" s="8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INDIRECT("$D80"))</f>
        <v/>
      </c>
      <c r="B77" s="23"/>
      <c r="C77" s="9"/>
      <c r="D77" s="35"/>
      <c r="E77" s="9"/>
      <c r="F77" s="8" t="str">
        <f t="shared" si="7"/>
        <v/>
      </c>
      <c r="G77" s="35"/>
      <c r="H77" s="12"/>
      <c r="I77" s="35"/>
      <c r="J77" s="8" t="str">
        <f t="shared" si="8"/>
        <v/>
      </c>
      <c r="K77" s="35"/>
      <c r="L77" s="35"/>
      <c r="M77" s="35" t="str">
        <f t="shared" si="5"/>
        <v/>
      </c>
      <c r="N77" s="8"/>
      <c r="O77" s="10"/>
      <c r="P77" s="17" t="str">
        <f ca="1">IF($H77="", "", INDIRECT("$H80"))</f>
        <v/>
      </c>
      <c r="Q77" s="12"/>
      <c r="R77" s="35"/>
      <c r="S77" s="35"/>
      <c r="T77" s="35"/>
      <c r="U77" s="10"/>
      <c r="V77" s="10"/>
      <c r="W77" s="8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INDIRECT("$H80"))</f>
        <v/>
      </c>
      <c r="AG77" s="8" t="str">
        <f t="shared" ca="1" si="11"/>
        <v/>
      </c>
      <c r="AH77" s="10"/>
      <c r="AI77" s="8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0"/>
      <c r="BD77" s="8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INDIRECT("$D81"))</f>
        <v/>
      </c>
      <c r="B78" s="23"/>
      <c r="C78" s="9"/>
      <c r="D78" s="35"/>
      <c r="E78" s="15"/>
      <c r="F78" s="8" t="str">
        <f t="shared" si="7"/>
        <v/>
      </c>
      <c r="G78" s="35"/>
      <c r="H78" s="12"/>
      <c r="I78" s="35"/>
      <c r="J78" s="8" t="str">
        <f t="shared" si="8"/>
        <v/>
      </c>
      <c r="K78" s="35"/>
      <c r="L78" s="35"/>
      <c r="M78" s="35" t="str">
        <f t="shared" si="5"/>
        <v/>
      </c>
      <c r="N78" s="8"/>
      <c r="O78" s="10"/>
      <c r="P78" s="17" t="str">
        <f ca="1">IF($H78="", "", INDIRECT("$H81"))</f>
        <v/>
      </c>
      <c r="Q78" s="12"/>
      <c r="R78" s="35"/>
      <c r="S78" s="35"/>
      <c r="T78" s="35"/>
      <c r="U78" s="10"/>
      <c r="V78" s="10"/>
      <c r="W78" s="8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INDIRECT("$H81"))</f>
        <v/>
      </c>
      <c r="AG78" s="8" t="str">
        <f t="shared" ca="1" si="11"/>
        <v/>
      </c>
      <c r="AH78" s="10"/>
      <c r="AI78" s="8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INDIRECT("$D82"))</f>
        <v/>
      </c>
      <c r="B79" s="23"/>
      <c r="C79" s="9"/>
      <c r="D79" s="35"/>
      <c r="E79" s="15"/>
      <c r="F79" s="8" t="str">
        <f t="shared" si="7"/>
        <v/>
      </c>
      <c r="G79" s="35"/>
      <c r="H79" s="12"/>
      <c r="I79" s="35"/>
      <c r="J79" s="8" t="str">
        <f t="shared" si="8"/>
        <v/>
      </c>
      <c r="K79" s="35"/>
      <c r="L79" s="35"/>
      <c r="M79" s="35" t="str">
        <f t="shared" si="5"/>
        <v/>
      </c>
      <c r="N79" s="8"/>
      <c r="O79" s="10"/>
      <c r="P79" s="17" t="str">
        <f ca="1">IF($H79="", "", INDIRECT("$H82"))</f>
        <v/>
      </c>
      <c r="Q79" s="12"/>
      <c r="R79" s="35"/>
      <c r="S79" s="35"/>
      <c r="T79" s="35"/>
      <c r="U79" s="10"/>
      <c r="V79" s="10"/>
      <c r="W79" s="8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INDIRECT("$H82"))</f>
        <v/>
      </c>
      <c r="AG79" s="8" t="str">
        <f t="shared" ca="1" si="11"/>
        <v/>
      </c>
      <c r="AH79" s="10"/>
      <c r="AI79" s="8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8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INDIRECT("$D83"))</f>
        <v/>
      </c>
      <c r="B80" s="23"/>
      <c r="C80" s="9"/>
      <c r="D80" s="35"/>
      <c r="E80" s="15"/>
      <c r="F80" s="8" t="str">
        <f t="shared" si="7"/>
        <v/>
      </c>
      <c r="G80" s="35"/>
      <c r="H80" s="12"/>
      <c r="I80" s="35"/>
      <c r="J80" s="8" t="str">
        <f t="shared" si="8"/>
        <v/>
      </c>
      <c r="K80" s="35"/>
      <c r="L80" s="35"/>
      <c r="M80" s="35" t="str">
        <f t="shared" si="5"/>
        <v/>
      </c>
      <c r="N80" s="8"/>
      <c r="O80" s="10"/>
      <c r="P80" s="17" t="str">
        <f ca="1">IF($H80="", "", INDIRECT("$H83"))</f>
        <v/>
      </c>
      <c r="Q80" s="12"/>
      <c r="R80" s="35"/>
      <c r="S80" s="35"/>
      <c r="T80" s="35"/>
      <c r="U80" s="10"/>
      <c r="V80" s="10"/>
      <c r="W80" s="8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INDIRECT("$H83"))</f>
        <v/>
      </c>
      <c r="AG80" s="8" t="str">
        <f t="shared" ca="1" si="11"/>
        <v/>
      </c>
      <c r="AH80" s="10"/>
      <c r="AI80" s="8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8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INDIRECT("$D84"))</f>
        <v/>
      </c>
      <c r="B81" s="23"/>
      <c r="C81" s="9"/>
      <c r="D81" s="35"/>
      <c r="E81" s="15"/>
      <c r="F81" s="8" t="str">
        <f t="shared" si="7"/>
        <v/>
      </c>
      <c r="G81" s="35"/>
      <c r="H81" s="12"/>
      <c r="I81" s="35"/>
      <c r="J81" s="8" t="str">
        <f t="shared" si="8"/>
        <v/>
      </c>
      <c r="K81" s="35"/>
      <c r="L81" s="35"/>
      <c r="M81" s="35" t="str">
        <f t="shared" si="5"/>
        <v/>
      </c>
      <c r="N81" s="8"/>
      <c r="O81" s="10"/>
      <c r="P81" s="17" t="str">
        <f ca="1">IF($H81="", "", INDIRECT("$H84"))</f>
        <v/>
      </c>
      <c r="Q81" s="12"/>
      <c r="R81" s="35"/>
      <c r="S81" s="35"/>
      <c r="T81" s="35"/>
      <c r="U81" s="10"/>
      <c r="V81" s="10"/>
      <c r="W81" s="8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INDIRECT("$H84"))</f>
        <v/>
      </c>
      <c r="AG81" s="8" t="str">
        <f t="shared" ca="1" si="11"/>
        <v/>
      </c>
      <c r="AH81" s="10"/>
      <c r="AI81" s="8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INDIRECT("$D85"))</f>
        <v/>
      </c>
      <c r="B82" s="23"/>
      <c r="C82" s="9"/>
      <c r="D82" s="35"/>
      <c r="E82" s="15"/>
      <c r="F82" s="8" t="str">
        <f t="shared" si="7"/>
        <v/>
      </c>
      <c r="G82" s="35"/>
      <c r="H82" s="12"/>
      <c r="I82" s="35"/>
      <c r="J82" s="8" t="str">
        <f t="shared" si="8"/>
        <v/>
      </c>
      <c r="K82" s="35"/>
      <c r="L82" s="35"/>
      <c r="M82" s="35" t="str">
        <f t="shared" si="5"/>
        <v/>
      </c>
      <c r="N82" s="8"/>
      <c r="O82" s="10"/>
      <c r="P82" s="17" t="str">
        <f ca="1">IF($H82="", "", INDIRECT("$H85"))</f>
        <v/>
      </c>
      <c r="Q82" s="12"/>
      <c r="R82" s="35"/>
      <c r="S82" s="35"/>
      <c r="T82" s="35"/>
      <c r="U82" s="10"/>
      <c r="V82" s="10"/>
      <c r="W82" s="8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INDIRECT("$H85"))</f>
        <v/>
      </c>
      <c r="AG82" s="8" t="str">
        <f t="shared" ca="1" si="11"/>
        <v/>
      </c>
      <c r="AH82" s="10"/>
      <c r="AI82" s="8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INDIRECT("$D86"))</f>
        <v/>
      </c>
      <c r="B83" s="23"/>
      <c r="C83" s="9"/>
      <c r="D83" s="35"/>
      <c r="E83" s="15"/>
      <c r="F83" s="8" t="str">
        <f t="shared" si="7"/>
        <v/>
      </c>
      <c r="G83" s="35"/>
      <c r="H83" s="12"/>
      <c r="I83" s="35"/>
      <c r="J83" s="8" t="str">
        <f t="shared" si="8"/>
        <v/>
      </c>
      <c r="K83" s="35"/>
      <c r="L83" s="35"/>
      <c r="M83" s="35" t="str">
        <f t="shared" si="5"/>
        <v/>
      </c>
      <c r="N83" s="8"/>
      <c r="O83" s="10"/>
      <c r="P83" s="17" t="str">
        <f ca="1">IF($H83="", "", INDIRECT("$H86"))</f>
        <v/>
      </c>
      <c r="Q83" s="12"/>
      <c r="R83" s="35"/>
      <c r="S83" s="35"/>
      <c r="T83" s="35"/>
      <c r="U83" s="10"/>
      <c r="V83" s="10"/>
      <c r="W83" s="8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INDIRECT("$H86"))</f>
        <v/>
      </c>
      <c r="AG83" s="8" t="str">
        <f t="shared" ca="1" si="11"/>
        <v/>
      </c>
      <c r="AH83" s="10"/>
      <c r="AI83" s="8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INDIRECT("$D87"))</f>
        <v/>
      </c>
      <c r="B84" s="23"/>
      <c r="C84" s="9"/>
      <c r="D84" s="35"/>
      <c r="E84" s="35"/>
      <c r="F84" s="8" t="str">
        <f t="shared" si="7"/>
        <v/>
      </c>
      <c r="G84" s="35"/>
      <c r="H84" s="12"/>
      <c r="I84" s="35"/>
      <c r="J84" s="8" t="str">
        <f t="shared" si="8"/>
        <v/>
      </c>
      <c r="K84" s="35"/>
      <c r="L84" s="35"/>
      <c r="M84" s="35" t="str">
        <f t="shared" si="5"/>
        <v/>
      </c>
      <c r="N84" s="8"/>
      <c r="O84" s="10"/>
      <c r="P84" s="17" t="str">
        <f ca="1">IF($H84="", "", INDIRECT("$H87"))</f>
        <v/>
      </c>
      <c r="Q84" s="12"/>
      <c r="R84" s="35"/>
      <c r="S84" s="35"/>
      <c r="T84" s="35"/>
      <c r="U84" s="10"/>
      <c r="V84" s="10"/>
      <c r="W84" s="8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INDIRECT("$H87"))</f>
        <v/>
      </c>
      <c r="AG84" s="8" t="str">
        <f t="shared" ca="1" si="11"/>
        <v/>
      </c>
      <c r="AH84" s="10"/>
      <c r="AI84" s="8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INDIRECT("$D88"))</f>
        <v/>
      </c>
      <c r="B85" s="23"/>
      <c r="C85" s="9"/>
      <c r="D85" s="35"/>
      <c r="E85" s="35"/>
      <c r="F85" s="8" t="str">
        <f t="shared" si="7"/>
        <v/>
      </c>
      <c r="G85" s="35"/>
      <c r="H85" s="12"/>
      <c r="I85" s="35"/>
      <c r="J85" s="8" t="str">
        <f t="shared" si="8"/>
        <v/>
      </c>
      <c r="K85" s="35"/>
      <c r="L85" s="35"/>
      <c r="M85" s="35" t="str">
        <f t="shared" si="5"/>
        <v/>
      </c>
      <c r="N85" s="8"/>
      <c r="O85" s="10"/>
      <c r="P85" s="17" t="str">
        <f ca="1">IF($H85="", "", INDIRECT("$H88"))</f>
        <v/>
      </c>
      <c r="Q85" s="12"/>
      <c r="R85" s="35"/>
      <c r="S85" s="35"/>
      <c r="T85" s="35"/>
      <c r="U85" s="10"/>
      <c r="V85" s="10"/>
      <c r="W85" s="8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INDIRECT("$H88"))</f>
        <v/>
      </c>
      <c r="AG85" s="8" t="str">
        <f t="shared" ca="1" si="11"/>
        <v/>
      </c>
      <c r="AH85" s="10"/>
      <c r="AI85" s="8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INDIRECT("$D89"))</f>
        <v/>
      </c>
      <c r="B86" s="23"/>
      <c r="C86" s="9"/>
      <c r="D86" s="35"/>
      <c r="E86" s="35"/>
      <c r="F86" s="8" t="str">
        <f t="shared" si="7"/>
        <v/>
      </c>
      <c r="G86" s="35"/>
      <c r="H86" s="12"/>
      <c r="I86" s="35"/>
      <c r="J86" s="8" t="str">
        <f t="shared" si="8"/>
        <v/>
      </c>
      <c r="K86" s="35"/>
      <c r="L86" s="35"/>
      <c r="M86" s="35" t="str">
        <f t="shared" si="5"/>
        <v/>
      </c>
      <c r="N86" s="8"/>
      <c r="O86" s="10"/>
      <c r="P86" s="17" t="str">
        <f ca="1">IF($H86="", "", INDIRECT("$H89"))</f>
        <v/>
      </c>
      <c r="Q86" s="12"/>
      <c r="R86" s="35"/>
      <c r="S86" s="35"/>
      <c r="T86" s="35"/>
      <c r="U86" s="10"/>
      <c r="V86" s="10"/>
      <c r="W86" s="8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INDIRECT("$H89"))</f>
        <v/>
      </c>
      <c r="AG86" s="8" t="str">
        <f t="shared" ca="1" si="11"/>
        <v/>
      </c>
      <c r="AH86" s="10"/>
      <c r="AI86" s="8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INDIRECT("$D90"))</f>
        <v/>
      </c>
      <c r="B87" s="23"/>
      <c r="C87" s="9"/>
      <c r="D87" s="35"/>
      <c r="E87" s="35"/>
      <c r="F87" s="8" t="str">
        <f t="shared" si="7"/>
        <v/>
      </c>
      <c r="G87" s="35"/>
      <c r="H87" s="12"/>
      <c r="I87" s="35"/>
      <c r="J87" s="8" t="str">
        <f t="shared" si="8"/>
        <v/>
      </c>
      <c r="K87" s="35"/>
      <c r="L87" s="35"/>
      <c r="M87" s="35" t="str">
        <f t="shared" si="5"/>
        <v/>
      </c>
      <c r="N87" s="8"/>
      <c r="O87" s="10"/>
      <c r="P87" s="17" t="str">
        <f ca="1">IF($H87="", "", INDIRECT("$H90"))</f>
        <v/>
      </c>
      <c r="Q87" s="12"/>
      <c r="R87" s="35"/>
      <c r="S87" s="35"/>
      <c r="T87" s="35"/>
      <c r="U87" s="10"/>
      <c r="V87" s="10"/>
      <c r="W87" s="8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INDIRECT("$H90"))</f>
        <v/>
      </c>
      <c r="AG87" s="8" t="str">
        <f t="shared" ca="1" si="11"/>
        <v/>
      </c>
      <c r="AH87" s="10"/>
      <c r="AI87" s="8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INDIRECT("$D91"))</f>
        <v/>
      </c>
      <c r="B88" s="23"/>
      <c r="C88" s="9"/>
      <c r="D88" s="35"/>
      <c r="E88" s="9"/>
      <c r="F88" s="8" t="str">
        <f t="shared" si="7"/>
        <v/>
      </c>
      <c r="G88" s="35"/>
      <c r="H88" s="12"/>
      <c r="I88" s="35"/>
      <c r="J88" s="8" t="str">
        <f t="shared" si="8"/>
        <v/>
      </c>
      <c r="K88" s="35"/>
      <c r="L88" s="35"/>
      <c r="M88" s="35" t="str">
        <f t="shared" si="5"/>
        <v/>
      </c>
      <c r="N88" s="8"/>
      <c r="O88" s="10"/>
      <c r="P88" s="17" t="str">
        <f ca="1">IF($H88="", "", INDIRECT("$H91"))</f>
        <v/>
      </c>
      <c r="Q88" s="12"/>
      <c r="R88" s="35"/>
      <c r="S88" s="35"/>
      <c r="T88" s="35"/>
      <c r="U88" s="10"/>
      <c r="V88" s="10"/>
      <c r="W88" s="8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INDIRECT("$H91"))</f>
        <v/>
      </c>
      <c r="AG88" s="8" t="str">
        <f t="shared" ca="1" si="11"/>
        <v/>
      </c>
      <c r="AH88" s="10"/>
      <c r="AI88" s="8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INDIRECT("$D92"))</f>
        <v/>
      </c>
      <c r="B89" s="23"/>
      <c r="C89" s="9"/>
      <c r="D89" s="35"/>
      <c r="E89" s="9"/>
      <c r="F89" s="8" t="str">
        <f t="shared" si="7"/>
        <v/>
      </c>
      <c r="G89" s="35"/>
      <c r="H89" s="12"/>
      <c r="I89" s="35"/>
      <c r="J89" s="8" t="str">
        <f t="shared" si="8"/>
        <v/>
      </c>
      <c r="K89" s="35"/>
      <c r="L89" s="35"/>
      <c r="M89" s="35" t="str">
        <f t="shared" si="5"/>
        <v/>
      </c>
      <c r="N89" s="8"/>
      <c r="O89" s="10"/>
      <c r="P89" s="17" t="str">
        <f ca="1">IF($H89="", "", INDIRECT("$H92"))</f>
        <v/>
      </c>
      <c r="Q89" s="12"/>
      <c r="R89" s="35"/>
      <c r="S89" s="35"/>
      <c r="T89" s="35"/>
      <c r="U89" s="10"/>
      <c r="V89" s="10"/>
      <c r="W89" s="8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INDIRECT("$H92"))</f>
        <v/>
      </c>
      <c r="AG89" s="8" t="str">
        <f t="shared" ca="1" si="11"/>
        <v/>
      </c>
      <c r="AH89" s="10"/>
      <c r="AI89" s="8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INDIRECT("$D93"))</f>
        <v/>
      </c>
      <c r="B90" s="23"/>
      <c r="C90" s="9"/>
      <c r="D90" s="35"/>
      <c r="E90" s="9"/>
      <c r="F90" s="8" t="str">
        <f t="shared" si="7"/>
        <v/>
      </c>
      <c r="G90" s="35"/>
      <c r="H90" s="12"/>
      <c r="I90" s="35"/>
      <c r="J90" s="8" t="str">
        <f t="shared" si="8"/>
        <v/>
      </c>
      <c r="K90" s="35"/>
      <c r="L90" s="35"/>
      <c r="M90" s="35" t="str">
        <f t="shared" si="5"/>
        <v/>
      </c>
      <c r="N90" s="8"/>
      <c r="O90" s="10"/>
      <c r="P90" s="17" t="str">
        <f ca="1">IF($H90="", "", INDIRECT("$H93"))</f>
        <v/>
      </c>
      <c r="Q90" s="12"/>
      <c r="R90" s="35"/>
      <c r="S90" s="35"/>
      <c r="T90" s="35"/>
      <c r="U90" s="10"/>
      <c r="V90" s="10"/>
      <c r="W90" s="8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INDIRECT("$H93"))</f>
        <v/>
      </c>
      <c r="AG90" s="8" t="str">
        <f t="shared" ca="1" si="11"/>
        <v/>
      </c>
      <c r="AH90" s="10"/>
      <c r="AI90" s="8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INDIRECT("$D94"))</f>
        <v/>
      </c>
      <c r="B91" s="23"/>
      <c r="C91" s="9"/>
      <c r="D91" s="35"/>
      <c r="E91" s="9"/>
      <c r="F91" s="8" t="str">
        <f t="shared" si="7"/>
        <v/>
      </c>
      <c r="G91" s="35"/>
      <c r="H91" s="12"/>
      <c r="I91" s="35"/>
      <c r="J91" s="8" t="str">
        <f t="shared" si="8"/>
        <v/>
      </c>
      <c r="K91" s="35"/>
      <c r="L91" s="35"/>
      <c r="M91" s="35" t="str">
        <f t="shared" si="5"/>
        <v/>
      </c>
      <c r="N91" s="8"/>
      <c r="O91" s="10"/>
      <c r="P91" s="17" t="str">
        <f ca="1">IF($H91="", "", INDIRECT("$H94"))</f>
        <v/>
      </c>
      <c r="Q91" s="12"/>
      <c r="R91" s="35"/>
      <c r="S91" s="35"/>
      <c r="T91" s="35"/>
      <c r="U91" s="10"/>
      <c r="V91" s="10"/>
      <c r="W91" s="8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INDIRECT("$H94"))</f>
        <v/>
      </c>
      <c r="AG91" s="8" t="str">
        <f t="shared" ca="1" si="11"/>
        <v/>
      </c>
      <c r="AH91" s="10"/>
      <c r="AI91" s="8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INDIRECT("$D95"))</f>
        <v/>
      </c>
      <c r="B92" s="23"/>
      <c r="C92" s="9"/>
      <c r="D92" s="35"/>
      <c r="E92" s="9"/>
      <c r="F92" s="8" t="str">
        <f t="shared" si="7"/>
        <v/>
      </c>
      <c r="G92" s="35"/>
      <c r="H92" s="12"/>
      <c r="I92" s="35"/>
      <c r="J92" s="8" t="str">
        <f t="shared" si="8"/>
        <v/>
      </c>
      <c r="K92" s="35"/>
      <c r="L92" s="35"/>
      <c r="M92" s="35" t="str">
        <f t="shared" si="5"/>
        <v/>
      </c>
      <c r="N92" s="8"/>
      <c r="O92" s="10"/>
      <c r="P92" s="17" t="str">
        <f ca="1">IF($H92="", "", INDIRECT("$H95"))</f>
        <v/>
      </c>
      <c r="Q92" s="12"/>
      <c r="R92" s="35"/>
      <c r="S92" s="35"/>
      <c r="T92" s="35"/>
      <c r="U92" s="10"/>
      <c r="V92" s="10"/>
      <c r="W92" s="8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INDIRECT("$H95"))</f>
        <v/>
      </c>
      <c r="AG92" s="8" t="str">
        <f t="shared" ca="1" si="11"/>
        <v/>
      </c>
      <c r="AH92" s="10"/>
      <c r="AI92" s="8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  <row r="93" spans="1:79" x14ac:dyDescent="0.2">
      <c r="A93" s="4" t="str">
        <f ca="1">IF($D93="", "", INDIRECT("$D96"))</f>
        <v/>
      </c>
      <c r="B93" s="23"/>
      <c r="C93" s="9"/>
      <c r="D93" s="35"/>
      <c r="E93" s="9"/>
      <c r="F93" s="8" t="str">
        <f t="shared" si="7"/>
        <v/>
      </c>
      <c r="G93" s="35"/>
      <c r="H93" s="12"/>
      <c r="I93" s="35"/>
      <c r="J93" s="8" t="str">
        <f t="shared" si="8"/>
        <v/>
      </c>
      <c r="K93" s="35"/>
      <c r="L93" s="35"/>
      <c r="M93" s="35" t="str">
        <f t="shared" si="5"/>
        <v/>
      </c>
      <c r="N93" s="8"/>
      <c r="O93" s="10"/>
      <c r="P93" s="17" t="str">
        <f ca="1">IF($H93="", "", INDIRECT("$H96"))</f>
        <v/>
      </c>
      <c r="Q93" s="12"/>
      <c r="R93" s="35"/>
      <c r="S93" s="35"/>
      <c r="T93" s="35"/>
      <c r="U93" s="10"/>
      <c r="V93" s="10"/>
      <c r="W93" s="8" t="str">
        <f t="shared" si="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INDIRECT("$H96"))</f>
        <v/>
      </c>
      <c r="AG93" s="8" t="str">
        <f t="shared" ca="1" si="11"/>
        <v/>
      </c>
      <c r="AH93" s="10"/>
      <c r="AI93" s="8" t="str">
        <f t="shared" ca="1" si="9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0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  <c r="BS93" s="35"/>
      <c r="BT93" s="35"/>
      <c r="BU93" s="35"/>
      <c r="BV93" s="35"/>
      <c r="BW93" s="35"/>
      <c r="BX93" s="35"/>
      <c r="BY93" s="35"/>
      <c r="BZ93" s="35"/>
      <c r="CA93" s="35"/>
    </row>
    <row r="94" spans="1:79" x14ac:dyDescent="0.2">
      <c r="A94" s="4" t="str">
        <f ca="1">IF($D94="", "", INDIRECT("$D97"))</f>
        <v/>
      </c>
      <c r="B94" s="23"/>
      <c r="C94" s="9"/>
      <c r="D94" s="35"/>
      <c r="E94" s="9"/>
      <c r="F94" s="8" t="str">
        <f t="shared" si="7"/>
        <v/>
      </c>
      <c r="G94" s="35"/>
      <c r="H94" s="12"/>
      <c r="I94" s="35"/>
      <c r="J94" s="8" t="str">
        <f t="shared" si="8"/>
        <v/>
      </c>
      <c r="K94" s="35"/>
      <c r="L94" s="35"/>
      <c r="M94" s="35" t="str">
        <f t="shared" si="5"/>
        <v/>
      </c>
      <c r="N94" s="8"/>
      <c r="O94" s="10"/>
      <c r="P94" s="17" t="str">
        <f ca="1">IF($H94="", "", INDIRECT("$H97"))</f>
        <v/>
      </c>
      <c r="Q94" s="12"/>
      <c r="R94" s="35"/>
      <c r="S94" s="35"/>
      <c r="T94" s="35"/>
      <c r="U94" s="10"/>
      <c r="V94" s="10"/>
      <c r="W94" s="8" t="str">
        <f t="shared" si="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INDIRECT("$H97"))</f>
        <v/>
      </c>
      <c r="AG94" s="8" t="str">
        <f t="shared" ca="1" si="11"/>
        <v/>
      </c>
      <c r="AH94" s="10"/>
      <c r="AI94" s="8" t="str">
        <f t="shared" ca="1" si="9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0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  <c r="BS94" s="35"/>
      <c r="BT94" s="35"/>
      <c r="BU94" s="35"/>
      <c r="BV94" s="35"/>
      <c r="BW94" s="35"/>
      <c r="BX94" s="35"/>
      <c r="BY94" s="35"/>
      <c r="BZ94" s="35"/>
      <c r="CA94" s="35"/>
    </row>
    <row r="95" spans="1:79" x14ac:dyDescent="0.2">
      <c r="A95" s="4" t="str">
        <f ca="1">IF($D95="", "", INDIRECT("$D98"))</f>
        <v/>
      </c>
      <c r="B95" s="23"/>
      <c r="C95" s="9"/>
      <c r="D95" s="35"/>
      <c r="E95" s="9"/>
      <c r="F95" s="8" t="str">
        <f t="shared" si="7"/>
        <v/>
      </c>
      <c r="G95" s="35"/>
      <c r="H95" s="12"/>
      <c r="I95" s="35"/>
      <c r="J95" s="8" t="str">
        <f t="shared" si="8"/>
        <v/>
      </c>
      <c r="K95" s="35"/>
      <c r="L95" s="35"/>
      <c r="M95" s="35" t="str">
        <f t="shared" si="5"/>
        <v/>
      </c>
      <c r="N95" s="8"/>
      <c r="O95" s="10"/>
      <c r="P95" s="17" t="str">
        <f ca="1">IF($H95="", "", INDIRECT("$H98"))</f>
        <v/>
      </c>
      <c r="Q95" s="12"/>
      <c r="R95" s="35"/>
      <c r="S95" s="35"/>
      <c r="T95" s="35"/>
      <c r="U95" s="10"/>
      <c r="V95" s="10"/>
      <c r="W95" s="8" t="str">
        <f t="shared" si="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INDIRECT("$H98"))</f>
        <v/>
      </c>
      <c r="AG95" s="8" t="str">
        <f t="shared" ca="1" si="11"/>
        <v/>
      </c>
      <c r="AH95" s="10"/>
      <c r="AI95" s="8" t="str">
        <f t="shared" ca="1" si="9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0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  <c r="BS95" s="35"/>
      <c r="BT95" s="35"/>
      <c r="BU95" s="35"/>
      <c r="BV95" s="35"/>
      <c r="BW95" s="35"/>
      <c r="BX95" s="35"/>
      <c r="BY95" s="35"/>
      <c r="BZ95" s="35"/>
      <c r="CA95" s="35"/>
    </row>
    <row r="96" spans="1:79" x14ac:dyDescent="0.2">
      <c r="A96" s="4" t="str">
        <f ca="1">IF($D96="", "", INDIRECT("$D99"))</f>
        <v/>
      </c>
      <c r="B96" s="23"/>
      <c r="C96" s="9"/>
      <c r="D96" s="35"/>
      <c r="E96" s="9"/>
      <c r="F96" s="8" t="str">
        <f t="shared" si="7"/>
        <v/>
      </c>
      <c r="G96" s="35"/>
      <c r="H96" s="12"/>
      <c r="I96" s="35"/>
      <c r="J96" s="8" t="str">
        <f t="shared" si="8"/>
        <v/>
      </c>
      <c r="K96" s="35"/>
      <c r="L96" s="35"/>
      <c r="M96" s="35" t="str">
        <f t="shared" si="5"/>
        <v/>
      </c>
      <c r="N96" s="8"/>
      <c r="O96" s="10"/>
      <c r="P96" s="17" t="str">
        <f ca="1">IF($H96="", "", INDIRECT("$H99"))</f>
        <v/>
      </c>
      <c r="Q96" s="12"/>
      <c r="R96" s="35"/>
      <c r="S96" s="35"/>
      <c r="T96" s="35"/>
      <c r="U96" s="10"/>
      <c r="V96" s="10"/>
      <c r="W96" s="8" t="str">
        <f t="shared" si="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INDIRECT("$H99"))</f>
        <v/>
      </c>
      <c r="AG96" s="8" t="str">
        <f t="shared" ca="1" si="11"/>
        <v/>
      </c>
      <c r="AH96" s="10"/>
      <c r="AI96" s="8" t="str">
        <f t="shared" ca="1" si="9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0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  <c r="BS96" s="35"/>
      <c r="BT96" s="35"/>
      <c r="BU96" s="35"/>
      <c r="BV96" s="35"/>
      <c r="BW96" s="35"/>
      <c r="BX96" s="35"/>
      <c r="BY96" s="35"/>
      <c r="BZ96" s="35"/>
      <c r="CA96" s="35"/>
    </row>
    <row r="97" spans="1:79" x14ac:dyDescent="0.2">
      <c r="A97" s="4" t="str">
        <f ca="1">IF($D97="", "", INDIRECT("$D100"))</f>
        <v/>
      </c>
      <c r="B97" s="23"/>
      <c r="C97" s="9"/>
      <c r="D97" s="35"/>
      <c r="E97" s="9"/>
      <c r="F97" s="8" t="str">
        <f t="shared" si="7"/>
        <v/>
      </c>
      <c r="G97" s="35"/>
      <c r="H97" s="12"/>
      <c r="I97" s="35"/>
      <c r="J97" s="8" t="str">
        <f t="shared" si="8"/>
        <v/>
      </c>
      <c r="K97" s="35"/>
      <c r="L97" s="35"/>
      <c r="M97" s="35" t="str">
        <f t="shared" si="5"/>
        <v/>
      </c>
      <c r="N97" s="8"/>
      <c r="O97" s="10"/>
      <c r="P97" s="17" t="str">
        <f ca="1">IF($H97="", "", INDIRECT("$H100"))</f>
        <v/>
      </c>
      <c r="Q97" s="12"/>
      <c r="R97" s="35"/>
      <c r="S97" s="35"/>
      <c r="T97" s="35"/>
      <c r="U97" s="10"/>
      <c r="V97" s="10"/>
      <c r="W97" s="8" t="str">
        <f t="shared" si="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INDIRECT("$H100"))</f>
        <v/>
      </c>
      <c r="AG97" s="8" t="str">
        <f t="shared" ca="1" si="11"/>
        <v/>
      </c>
      <c r="AH97" s="10"/>
      <c r="AI97" s="8" t="str">
        <f t="shared" ca="1" si="9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0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  <c r="BS97" s="35"/>
      <c r="BT97" s="35"/>
      <c r="BU97" s="35"/>
      <c r="BV97" s="35"/>
      <c r="BW97" s="35"/>
      <c r="BX97" s="35"/>
      <c r="BY97" s="35"/>
      <c r="BZ97" s="35"/>
      <c r="CA97" s="35"/>
    </row>
  </sheetData>
  <mergeCells count="17">
    <mergeCell ref="BC1:BK1"/>
    <mergeCell ref="BL1:BN1"/>
    <mergeCell ref="BP1:BQ1"/>
    <mergeCell ref="BR1:BW1"/>
    <mergeCell ref="BX1:CA1"/>
    <mergeCell ref="BA1:BB1"/>
    <mergeCell ref="A1:E1"/>
    <mergeCell ref="F1:K1"/>
    <mergeCell ref="M1:N1"/>
    <mergeCell ref="P1:T1"/>
    <mergeCell ref="U1:Y1"/>
    <mergeCell ref="AA1:AC1"/>
    <mergeCell ref="AD1:AE1"/>
    <mergeCell ref="AF1:AP1"/>
    <mergeCell ref="AQ1:AT1"/>
    <mergeCell ref="AU1:AV1"/>
    <mergeCell ref="AY1:AZ1"/>
  </mergeCells>
  <dataValidations count="4">
    <dataValidation type="list" allowBlank="1" showInputMessage="1" showErrorMessage="1" sqref="AW53:AW62 AW78:AW87 AW28:AW37" xr:uid="{2E2BBFC0-C102-F641-A30B-2BF8E11C0BAE}">
      <formula1>$V$3:$V$5</formula1>
    </dataValidation>
    <dataValidation type="list" allowBlank="1" showInputMessage="1" showErrorMessage="1" sqref="BN28:BN37 BN78:BN87 BN53:BN62" xr:uid="{491C0E81-8015-754F-B6DE-777ABA776FC6}">
      <formula1>$W$3:$W$6</formula1>
    </dataValidation>
    <dataValidation type="list" allowBlank="1" showInputMessage="1" showErrorMessage="1" sqref="AV28:AV37 AV78:AV87 AV53:AV62" xr:uid="{345BC4EC-7AE3-C145-AE56-E06AF86EAADD}">
      <formula1>$U$3:$U$5</formula1>
    </dataValidation>
    <dataValidation showInputMessage="1" showErrorMessage="1" sqref="E78:E87 E53:E62 E3:E37" xr:uid="{BBE46E2F-77D7-AC44-9FB6-AFC08B8C1D8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C31B1794-1DF3-8348-85DE-5BCE322126E7}">
          <x14:formula1>
            <xm:f>Validations!$Y$3:$Y$6</xm:f>
          </x14:formula1>
          <xm:sqref>BH3:BH97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D3:D35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AP3:AP97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BU3:BU97</xm:sqref>
        </x14:dataValidation>
        <x14:dataValidation type="list" allowBlank="1" showInputMessage="1" showErrorMessage="1" xr:uid="{00BB38EA-765F-E148-B465-6926A3C84B55}">
          <x14:formula1>
            <xm:f>Validations!$V$3:$V$5</xm:f>
          </x14:formula1>
          <xm:sqref>AW3:AW12 AW14:AW19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D36:D97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AH3:AH97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T3:T97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Z3:Z97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Y3:Y97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BN3:BN12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AV3:AV12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AT3:AT97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AG3:AG97 BQ3:BQ97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AE3:AE97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AD3:AD97 BO3:BO97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AA3:AA97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S3:S97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Q3:Q97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M3:M97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K3:K97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J3:J97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I3:I97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G3:G97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L3:L97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AM3:AM97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2020-05-05T12:16:25Z</dcterms:modified>
</cp:coreProperties>
</file>