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2952B1E7-5BA9-7042-944C-72E7DF3B254E}" xr6:coauthVersionLast="45" xr6:coauthVersionMax="45" xr10:uidLastSave="{00000000-0000-0000-0000-000000000000}"/>
  <bookViews>
    <workbookView xWindow="720" yWindow="460" windowWidth="30360" windowHeight="16020" activeTab="1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3" l="1"/>
  <c r="BD92" i="3" l="1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AI65" i="3" s="1"/>
  <c r="W65" i="3"/>
  <c r="P65" i="3"/>
  <c r="M65" i="3"/>
  <c r="J65" i="3"/>
  <c r="F65" i="3"/>
  <c r="A65" i="3"/>
  <c r="BD64" i="3"/>
  <c r="AF64" i="3"/>
  <c r="AI64" i="3" s="1"/>
  <c r="W64" i="3"/>
  <c r="P64" i="3"/>
  <c r="M64" i="3"/>
  <c r="J64" i="3"/>
  <c r="F64" i="3"/>
  <c r="A64" i="3"/>
  <c r="BD63" i="3"/>
  <c r="AF63" i="3"/>
  <c r="AI63" i="3" s="1"/>
  <c r="W63" i="3"/>
  <c r="P63" i="3"/>
  <c r="M63" i="3"/>
  <c r="J63" i="3"/>
  <c r="F63" i="3"/>
  <c r="A63" i="3"/>
  <c r="BD62" i="3"/>
  <c r="AF62" i="3"/>
  <c r="AI62" i="3" s="1"/>
  <c r="W62" i="3"/>
  <c r="P62" i="3"/>
  <c r="M62" i="3"/>
  <c r="J62" i="3"/>
  <c r="F62" i="3"/>
  <c r="A62" i="3"/>
  <c r="BD61" i="3"/>
  <c r="AF61" i="3"/>
  <c r="AI61" i="3" s="1"/>
  <c r="W61" i="3"/>
  <c r="P61" i="3"/>
  <c r="M61" i="3"/>
  <c r="J61" i="3"/>
  <c r="F61" i="3"/>
  <c r="A61" i="3"/>
  <c r="BD60" i="3"/>
  <c r="AF60" i="3"/>
  <c r="W60" i="3"/>
  <c r="P60" i="3"/>
  <c r="M60" i="3"/>
  <c r="J60" i="3"/>
  <c r="F60" i="3"/>
  <c r="A60" i="3"/>
  <c r="BD59" i="3"/>
  <c r="AF59" i="3"/>
  <c r="AI59" i="3" s="1"/>
  <c r="W59" i="3"/>
  <c r="P59" i="3"/>
  <c r="M59" i="3"/>
  <c r="J59" i="3"/>
  <c r="F59" i="3"/>
  <c r="A59" i="3"/>
  <c r="BD58" i="3"/>
  <c r="AF58" i="3"/>
  <c r="W58" i="3"/>
  <c r="P58" i="3"/>
  <c r="M58" i="3"/>
  <c r="J58" i="3"/>
  <c r="F58" i="3"/>
  <c r="A58" i="3"/>
  <c r="BD57" i="3"/>
  <c r="AF57" i="3"/>
  <c r="AI57" i="3" s="1"/>
  <c r="W57" i="3"/>
  <c r="P57" i="3"/>
  <c r="M57" i="3"/>
  <c r="J57" i="3"/>
  <c r="F57" i="3"/>
  <c r="A57" i="3"/>
  <c r="BD56" i="3"/>
  <c r="AF56" i="3"/>
  <c r="W56" i="3"/>
  <c r="P56" i="3"/>
  <c r="M56" i="3"/>
  <c r="J56" i="3"/>
  <c r="F56" i="3"/>
  <c r="A56" i="3"/>
  <c r="BD55" i="3"/>
  <c r="AF55" i="3"/>
  <c r="AI55" i="3" s="1"/>
  <c r="W55" i="3"/>
  <c r="P55" i="3"/>
  <c r="M55" i="3"/>
  <c r="J55" i="3"/>
  <c r="F55" i="3"/>
  <c r="A55" i="3"/>
  <c r="BD54" i="3"/>
  <c r="AF54" i="3"/>
  <c r="W54" i="3"/>
  <c r="P54" i="3"/>
  <c r="M54" i="3"/>
  <c r="J54" i="3"/>
  <c r="F54" i="3"/>
  <c r="A54" i="3"/>
  <c r="BD53" i="3"/>
  <c r="AF53" i="3"/>
  <c r="AI53" i="3" s="1"/>
  <c r="W53" i="3"/>
  <c r="P53" i="3"/>
  <c r="M53" i="3"/>
  <c r="J53" i="3"/>
  <c r="F53" i="3"/>
  <c r="A53" i="3"/>
  <c r="BD52" i="3"/>
  <c r="AF52" i="3"/>
  <c r="W52" i="3"/>
  <c r="P52" i="3"/>
  <c r="M52" i="3"/>
  <c r="J52" i="3"/>
  <c r="F52" i="3"/>
  <c r="A52" i="3"/>
  <c r="BD51" i="3"/>
  <c r="AF51" i="3"/>
  <c r="AI51" i="3" s="1"/>
  <c r="W51" i="3"/>
  <c r="P51" i="3"/>
  <c r="M51" i="3"/>
  <c r="J51" i="3"/>
  <c r="F51" i="3"/>
  <c r="A51" i="3"/>
  <c r="BD50" i="3"/>
  <c r="AF50" i="3"/>
  <c r="W50" i="3"/>
  <c r="P50" i="3"/>
  <c r="M50" i="3"/>
  <c r="J50" i="3"/>
  <c r="F50" i="3"/>
  <c r="A50" i="3"/>
  <c r="BD49" i="3"/>
  <c r="AF49" i="3"/>
  <c r="AI49" i="3" s="1"/>
  <c r="W49" i="3"/>
  <c r="P49" i="3"/>
  <c r="M49" i="3"/>
  <c r="J49" i="3"/>
  <c r="F49" i="3"/>
  <c r="A49" i="3"/>
  <c r="BD48" i="3"/>
  <c r="AF48" i="3"/>
  <c r="W48" i="3"/>
  <c r="P48" i="3"/>
  <c r="M48" i="3"/>
  <c r="J48" i="3"/>
  <c r="F48" i="3"/>
  <c r="A48" i="3"/>
  <c r="BD47" i="3"/>
  <c r="AF47" i="3"/>
  <c r="AI47" i="3" s="1"/>
  <c r="W47" i="3"/>
  <c r="P47" i="3"/>
  <c r="M47" i="3"/>
  <c r="J47" i="3"/>
  <c r="F47" i="3"/>
  <c r="A47" i="3"/>
  <c r="BD46" i="3"/>
  <c r="AF46" i="3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W39" i="3"/>
  <c r="P39" i="3"/>
  <c r="M39" i="3"/>
  <c r="J39" i="3"/>
  <c r="F39" i="3"/>
  <c r="A39" i="3"/>
  <c r="BD38" i="3"/>
  <c r="AF38" i="3"/>
  <c r="AI38" i="3" s="1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W35" i="3"/>
  <c r="P35" i="3"/>
  <c r="M35" i="3"/>
  <c r="J35" i="3"/>
  <c r="F35" i="3"/>
  <c r="A35" i="3"/>
  <c r="BD34" i="3"/>
  <c r="AF34" i="3"/>
  <c r="AI34" i="3" s="1"/>
  <c r="W34" i="3"/>
  <c r="P34" i="3"/>
  <c r="M34" i="3"/>
  <c r="J34" i="3"/>
  <c r="F34" i="3"/>
  <c r="A34" i="3"/>
  <c r="BD33" i="3"/>
  <c r="AF33" i="3"/>
  <c r="AI33" i="3" s="1"/>
  <c r="W33" i="3"/>
  <c r="P33" i="3"/>
  <c r="M33" i="3"/>
  <c r="J33" i="3"/>
  <c r="F33" i="3"/>
  <c r="A33" i="3"/>
  <c r="BD32" i="3"/>
  <c r="AF32" i="3"/>
  <c r="AI32" i="3" s="1"/>
  <c r="W32" i="3"/>
  <c r="P32" i="3"/>
  <c r="M32" i="3"/>
  <c r="J32" i="3"/>
  <c r="F32" i="3"/>
  <c r="A32" i="3"/>
  <c r="BD31" i="3"/>
  <c r="AF31" i="3"/>
  <c r="AI31" i="3" s="1"/>
  <c r="W31" i="3"/>
  <c r="P31" i="3"/>
  <c r="M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F6" i="3"/>
  <c r="A6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G100" i="1" s="1"/>
  <c r="AF99" i="1"/>
  <c r="AG99" i="1" s="1"/>
  <c r="AF98" i="1"/>
  <c r="AG98" i="1" s="1"/>
  <c r="AF97" i="1"/>
  <c r="AI97" i="1" s="1"/>
  <c r="AF96" i="1"/>
  <c r="AI96" i="1" s="1"/>
  <c r="AF95" i="1"/>
  <c r="AG95" i="1" s="1"/>
  <c r="AF94" i="1"/>
  <c r="AG94" i="1" s="1"/>
  <c r="AF93" i="1"/>
  <c r="AG93" i="1" s="1"/>
  <c r="AF92" i="1"/>
  <c r="AI92" i="1" s="1"/>
  <c r="AF91" i="1"/>
  <c r="AG91" i="1" s="1"/>
  <c r="AF90" i="1"/>
  <c r="AI90" i="1" s="1"/>
  <c r="AF89" i="1"/>
  <c r="AI89" i="1" s="1"/>
  <c r="AF88" i="1"/>
  <c r="AI88" i="1" s="1"/>
  <c r="AF87" i="1"/>
  <c r="AG87" i="1" s="1"/>
  <c r="AF86" i="1"/>
  <c r="AG86" i="1" s="1"/>
  <c r="AF85" i="1"/>
  <c r="AI85" i="1" s="1"/>
  <c r="AF84" i="1"/>
  <c r="AG84" i="1" s="1"/>
  <c r="AF83" i="1"/>
  <c r="AG83" i="1" s="1"/>
  <c r="AF82" i="1"/>
  <c r="AI82" i="1" s="1"/>
  <c r="AF81" i="1"/>
  <c r="AI81" i="1" s="1"/>
  <c r="AF80" i="1"/>
  <c r="AI80" i="1" s="1"/>
  <c r="AF79" i="1"/>
  <c r="AG79" i="1" s="1"/>
  <c r="AF78" i="1"/>
  <c r="AG78" i="1" s="1"/>
  <c r="AF77" i="1"/>
  <c r="AI77" i="1" s="1"/>
  <c r="AF76" i="1"/>
  <c r="AI76" i="1" s="1"/>
  <c r="AF75" i="1"/>
  <c r="AG75" i="1" s="1"/>
  <c r="AF74" i="1"/>
  <c r="AG74" i="1" s="1"/>
  <c r="AF73" i="1"/>
  <c r="AI73" i="1" s="1"/>
  <c r="AF72" i="1"/>
  <c r="AG72" i="1" s="1"/>
  <c r="AF71" i="1"/>
  <c r="AI71" i="1" s="1"/>
  <c r="AF70" i="1"/>
  <c r="AG70" i="1" s="1"/>
  <c r="AF69" i="1"/>
  <c r="AI69" i="1" s="1"/>
  <c r="AF68" i="1"/>
  <c r="AI68" i="1" s="1"/>
  <c r="AF67" i="1"/>
  <c r="AI67" i="1" s="1"/>
  <c r="AF66" i="1"/>
  <c r="AG66" i="1" s="1"/>
  <c r="AF65" i="1"/>
  <c r="AI65" i="1" s="1"/>
  <c r="AF64" i="1"/>
  <c r="AG64" i="1" s="1"/>
  <c r="AF63" i="1"/>
  <c r="AI63" i="1" s="1"/>
  <c r="AF62" i="1"/>
  <c r="AG62" i="1" s="1"/>
  <c r="AF61" i="1"/>
  <c r="AI61" i="1" s="1"/>
  <c r="AF60" i="1"/>
  <c r="AG60" i="1" s="1"/>
  <c r="AF59" i="1"/>
  <c r="AI59" i="1" s="1"/>
  <c r="AF58" i="1"/>
  <c r="AI58" i="1" s="1"/>
  <c r="AF57" i="1"/>
  <c r="AI57" i="1" s="1"/>
  <c r="AF56" i="1"/>
  <c r="AG56" i="1" s="1"/>
  <c r="AF55" i="1"/>
  <c r="AG55" i="1" s="1"/>
  <c r="AF54" i="1"/>
  <c r="AG54" i="1" s="1"/>
  <c r="AF53" i="1"/>
  <c r="AG53" i="1" s="1"/>
  <c r="AF52" i="1"/>
  <c r="AI52" i="1" s="1"/>
  <c r="AF51" i="1"/>
  <c r="AG51" i="1" s="1"/>
  <c r="AF50" i="1"/>
  <c r="AI50" i="1" s="1"/>
  <c r="AF49" i="1"/>
  <c r="AG49" i="1" s="1"/>
  <c r="AF48" i="1"/>
  <c r="AG48" i="1" s="1"/>
  <c r="AF47" i="1"/>
  <c r="AG47" i="1" s="1"/>
  <c r="AF46" i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AF37" i="1"/>
  <c r="AG37" i="1" s="1"/>
  <c r="AF36" i="1"/>
  <c r="AG36" i="1" s="1"/>
  <c r="AF35" i="1"/>
  <c r="AG35" i="1" s="1"/>
  <c r="AF34" i="1"/>
  <c r="AI34" i="1" s="1"/>
  <c r="AF33" i="1"/>
  <c r="AG33" i="1" s="1"/>
  <c r="AF32" i="1"/>
  <c r="AI32" i="1" s="1"/>
  <c r="AF31" i="1"/>
  <c r="AG31" i="1" s="1"/>
  <c r="AF30" i="1"/>
  <c r="AG30" i="1" s="1"/>
  <c r="AF29" i="1"/>
  <c r="AG29" i="1" s="1"/>
  <c r="AF28" i="1"/>
  <c r="AG28" i="1" s="1"/>
  <c r="AF27" i="1"/>
  <c r="AG27" i="1" s="1"/>
  <c r="AF26" i="1"/>
  <c r="AG26" i="1" s="1"/>
  <c r="AF25" i="1"/>
  <c r="AG25" i="1" s="1"/>
  <c r="AF24" i="1"/>
  <c r="AG24" i="1" s="1"/>
  <c r="AF23" i="1"/>
  <c r="AG23" i="1" s="1"/>
  <c r="AF22" i="1"/>
  <c r="AG22" i="1" s="1"/>
  <c r="AF21" i="1"/>
  <c r="AG21" i="1" s="1"/>
  <c r="AF20" i="1"/>
  <c r="AG20" i="1" s="1"/>
  <c r="AF19" i="1"/>
  <c r="AG19" i="1" s="1"/>
  <c r="AF18" i="1"/>
  <c r="AG18" i="1" s="1"/>
  <c r="AF17" i="1"/>
  <c r="AG17" i="1" s="1"/>
  <c r="AF16" i="1"/>
  <c r="AI16" i="1" s="1"/>
  <c r="AF15" i="1"/>
  <c r="AI15" i="1" s="1"/>
  <c r="AF14" i="1"/>
  <c r="AI14" i="1" s="1"/>
  <c r="AF13" i="1"/>
  <c r="AI13" i="1" s="1"/>
  <c r="AF12" i="1"/>
  <c r="AI12" i="1" s="1"/>
  <c r="AF11" i="1"/>
  <c r="AI11" i="1" s="1"/>
  <c r="AF10" i="1"/>
  <c r="AG10" i="1" s="1"/>
  <c r="AF9" i="1"/>
  <c r="AI9" i="1" s="1"/>
  <c r="AF8" i="1"/>
  <c r="AI8" i="1" s="1"/>
  <c r="AF7" i="1"/>
  <c r="AI7" i="1" s="1"/>
  <c r="AF6" i="1"/>
  <c r="AG6" i="1" s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G63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AG50" i="1" l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<sst xmlns="http://schemas.openxmlformats.org/spreadsheetml/2006/main" count="435" uniqueCount="291">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</sst>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61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opLeftCell="D1" zoomScaleNormal="100" workbookViewId="0">
      <pane ySplit="4" topLeftCell="A6" activePane="bottomLeft" state="frozen"/>
      <selection activeCell="P1" sqref="P1"/>
      <selection pane="bottomLeft" activeCell="S6" sqref="S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236</v>
      </c>
      <c r="K1" s="21" t="s">
        <v>237</v>
      </c>
      <c r="L1" s="22" t="s">
        <v>238</v>
      </c>
    </row>
    <row r="2" spans="1:79" ht="17" thickTop="1" x14ac:dyDescent="0.2"/>
    <row r="3" spans="1:79" s="6" customFormat="1" x14ac:dyDescent="0.2">
      <c r="A3" s="50" t="s">
        <v>41</v>
      </c>
      <c r="B3" s="50"/>
      <c r="C3" s="50"/>
      <c r="D3" s="50"/>
      <c r="E3" s="50"/>
      <c r="F3" s="50" t="s">
        <v>42</v>
      </c>
      <c r="G3" s="50"/>
      <c r="H3" s="50"/>
      <c r="I3" s="50"/>
      <c r="J3" s="50"/>
      <c r="K3" s="50"/>
      <c r="L3" s="13" t="s">
        <v>43</v>
      </c>
      <c r="M3" s="50" t="s">
        <v>44</v>
      </c>
      <c r="N3" s="50"/>
      <c r="O3" s="7"/>
      <c r="P3" s="50" t="s">
        <v>45</v>
      </c>
      <c r="Q3" s="50"/>
      <c r="R3" s="50"/>
      <c r="S3" s="50"/>
      <c r="T3" s="50"/>
      <c r="U3" s="50" t="s">
        <v>46</v>
      </c>
      <c r="V3" s="50"/>
      <c r="W3" s="50"/>
      <c r="X3" s="50"/>
      <c r="Y3" s="50"/>
      <c r="Z3" s="6" t="s">
        <v>47</v>
      </c>
      <c r="AA3" s="50" t="s">
        <v>48</v>
      </c>
      <c r="AB3" s="50"/>
      <c r="AC3" s="50"/>
      <c r="AD3" s="50" t="s">
        <v>263</v>
      </c>
      <c r="AE3" s="51"/>
      <c r="AF3" s="50" t="s">
        <v>264</v>
      </c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0" t="s">
        <v>49</v>
      </c>
      <c r="AR3" s="50"/>
      <c r="AS3" s="50"/>
      <c r="AT3" s="50"/>
      <c r="AU3" s="50" t="s">
        <v>50</v>
      </c>
      <c r="AV3" s="50"/>
      <c r="AW3" s="28"/>
      <c r="AX3" s="28" t="s">
        <v>265</v>
      </c>
      <c r="AY3" s="50" t="s">
        <v>51</v>
      </c>
      <c r="AZ3" s="50"/>
      <c r="BA3" s="50" t="s">
        <v>52</v>
      </c>
      <c r="BB3" s="50"/>
      <c r="BC3" s="50" t="s">
        <v>214</v>
      </c>
      <c r="BD3" s="51"/>
      <c r="BE3" s="51"/>
      <c r="BF3" s="51"/>
      <c r="BG3" s="51"/>
      <c r="BH3" s="51"/>
      <c r="BI3" s="51"/>
      <c r="BJ3" s="51"/>
      <c r="BK3" s="51"/>
      <c r="BL3" s="50" t="s">
        <v>53</v>
      </c>
      <c r="BM3" s="50"/>
      <c r="BN3" s="50"/>
      <c r="BO3" s="6" t="s">
        <v>266</v>
      </c>
      <c r="BP3" s="50" t="s">
        <v>269</v>
      </c>
      <c r="BQ3" s="51"/>
      <c r="BR3" s="50" t="s">
        <v>274</v>
      </c>
      <c r="BS3" s="51"/>
      <c r="BT3" s="51"/>
      <c r="BU3" s="51"/>
      <c r="BV3" s="51"/>
      <c r="BW3" s="51"/>
      <c r="BX3" s="50" t="s">
        <v>279</v>
      </c>
      <c r="BY3" s="51"/>
      <c r="BZ3" s="51"/>
      <c r="CA3" s="51"/>
    </row>
    <row r="4" spans="1:79" s="5" customFormat="1" x14ac:dyDescent="0.2">
      <c r="A4" s="5" t="s">
        <v>1</v>
      </c>
      <c r="B4" s="5" t="s">
        <v>212</v>
      </c>
      <c r="C4" s="5" t="s">
        <v>213</v>
      </c>
      <c r="D4" s="19" t="s">
        <v>0</v>
      </c>
      <c r="E4" s="19" t="s">
        <v>234</v>
      </c>
      <c r="F4" s="5" t="s">
        <v>2</v>
      </c>
      <c r="G4" s="19" t="s">
        <v>3</v>
      </c>
      <c r="H4" s="19" t="s">
        <v>267</v>
      </c>
      <c r="I4" s="19" t="s">
        <v>4</v>
      </c>
      <c r="J4" s="5" t="s">
        <v>5</v>
      </c>
      <c r="K4" s="19" t="s">
        <v>211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230</v>
      </c>
      <c r="AG4" s="5" t="s">
        <v>229</v>
      </c>
      <c r="AH4" s="5" t="s">
        <v>244</v>
      </c>
      <c r="AI4" s="5" t="s">
        <v>27</v>
      </c>
      <c r="AJ4" s="5" t="s">
        <v>228</v>
      </c>
      <c r="AK4" s="5" t="s">
        <v>227</v>
      </c>
      <c r="AL4" s="5" t="s">
        <v>226</v>
      </c>
      <c r="AM4" s="5" t="s">
        <v>225</v>
      </c>
      <c r="AN4" s="5" t="s">
        <v>224</v>
      </c>
      <c r="AO4" s="5" t="s">
        <v>223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232</v>
      </c>
      <c r="AU4" s="5" t="s">
        <v>33</v>
      </c>
      <c r="AV4" s="5" t="s">
        <v>34</v>
      </c>
      <c r="AW4" s="5" t="s">
        <v>260</v>
      </c>
      <c r="AX4" s="5" t="s">
        <v>259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215</v>
      </c>
      <c r="BD4" s="5" t="s">
        <v>222</v>
      </c>
      <c r="BE4" s="5" t="s">
        <v>221</v>
      </c>
      <c r="BF4" s="5" t="s">
        <v>220</v>
      </c>
      <c r="BG4" s="5" t="s">
        <v>219</v>
      </c>
      <c r="BH4" s="5" t="s">
        <v>280</v>
      </c>
      <c r="BI4" s="5" t="s">
        <v>218</v>
      </c>
      <c r="BJ4" s="5" t="s">
        <v>217</v>
      </c>
      <c r="BK4" s="5" t="s">
        <v>216</v>
      </c>
      <c r="BL4" s="5" t="s">
        <v>231</v>
      </c>
      <c r="BM4" s="5" t="s">
        <v>39</v>
      </c>
      <c r="BN4" s="5" t="s">
        <v>40</v>
      </c>
      <c r="BO4" s="5" t="s">
        <v>258</v>
      </c>
      <c r="BP4" s="5" t="s">
        <v>254</v>
      </c>
      <c r="BQ4" s="5" t="s">
        <v>255</v>
      </c>
      <c r="BR4" s="5" t="s">
        <v>256</v>
      </c>
      <c r="BS4" s="5" t="s">
        <v>257</v>
      </c>
      <c r="BT4" s="5" t="s">
        <v>270</v>
      </c>
      <c r="BU4" s="5" t="s">
        <v>271</v>
      </c>
      <c r="BV4" s="5" t="s">
        <v>272</v>
      </c>
      <c r="BW4" s="5" t="s">
        <v>273</v>
      </c>
      <c r="BX4" s="5" t="s">
        <v>275</v>
      </c>
      <c r="BY4" s="5" t="s">
        <v>276</v>
      </c>
      <c r="BZ4" s="5" t="s">
        <v>277</v>
      </c>
      <c r="CA4" s="5" t="s">
        <v>278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208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10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10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10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10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10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10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10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10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10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10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10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10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10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10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10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/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10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10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10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10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10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10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10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10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10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10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10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10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  <mergeCell ref="BP3:BQ3"/>
    <mergeCell ref="BR3:BW3"/>
    <mergeCell ref="BX3:CA3"/>
    <mergeCell ref="U3:Y3"/>
    <mergeCell ref="F3:K3"/>
    <mergeCell ref="M3:N3"/>
    <mergeCell ref="P3:T3"/>
  </mergeCells>
  <phoneticPr fontId="7" type="noConversion"/>
  <conditionalFormatting sqref="O6:O100">
    <cfRule type="expression" dxfId="60" priority="69">
      <formula>$L6="Yes"</formula>
    </cfRule>
  </conditionalFormatting>
  <conditionalFormatting sqref="A6:A100">
    <cfRule type="containsBlanks" dxfId="59" priority="68">
      <formula>LEN(TRIM(A6))=0</formula>
    </cfRule>
  </conditionalFormatting>
  <conditionalFormatting sqref="M6 M39:M100">
    <cfRule type="expression" dxfId="58" priority="67">
      <formula>$L6="Yes"</formula>
    </cfRule>
  </conditionalFormatting>
  <conditionalFormatting sqref="U6:V100 X6:Y100">
    <cfRule type="expression" dxfId="57" priority="66">
      <formula>$T6="Single Cell Suspension"</formula>
    </cfRule>
  </conditionalFormatting>
  <conditionalFormatting sqref="Z6:AE100">
    <cfRule type="expression" dxfId="56" priority="73">
      <formula>$Y6="Unsorted Single Cell Sequencing"</formula>
    </cfRule>
  </conditionalFormatting>
  <conditionalFormatting sqref="AD6:AE100">
    <cfRule type="expression" dxfId="55" priority="72">
      <formula>$Y6="Unsorted Single Cell Sequencing"</formula>
    </cfRule>
  </conditionalFormatting>
  <conditionalFormatting sqref="AJ6:AP100">
    <cfRule type="notContainsBlanks" dxfId="54" priority="43">
      <formula>LEN(TRIM(AJ6))&gt;0</formula>
    </cfRule>
    <cfRule type="expression" dxfId="53" priority="44">
      <formula>$Y6="Sorted Single Cell Sequencing"</formula>
    </cfRule>
    <cfRule type="expression" dxfId="52" priority="45">
      <formula>$Y6="Unsorted Single Cell Sequencing"</formula>
    </cfRule>
  </conditionalFormatting>
  <conditionalFormatting sqref="X6:Y100 AU8:AX100 AU7:AW7 AU6:AX6">
    <cfRule type="notContainsBlanks" dxfId="51" priority="13">
      <formula>LEN(TRIM(X6))&gt;0</formula>
    </cfRule>
  </conditionalFormatting>
  <conditionalFormatting sqref="AQ6:AT100">
    <cfRule type="notContainsBlanks" dxfId="50" priority="5">
      <formula>LEN(TRIM(AQ6))&gt;0</formula>
    </cfRule>
    <cfRule type="expression" dxfId="49" priority="55">
      <formula>$T6="Frozen Tissue"</formula>
    </cfRule>
    <cfRule type="expression" dxfId="48" priority="59">
      <formula>$T6="FFPE Block"</formula>
    </cfRule>
  </conditionalFormatting>
  <conditionalFormatting sqref="U6:V100">
    <cfRule type="notContainsBlanks" dxfId="47" priority="35">
      <formula>LEN(TRIM(U6))&gt;0</formula>
    </cfRule>
    <cfRule type="notContainsBlanks" dxfId="46" priority="103">
      <formula>LEN(TRIM(U6))&gt;0</formula>
    </cfRule>
    <cfRule type="expression" dxfId="45" priority="104">
      <formula>$T6="Single Cell Suspension"</formula>
    </cfRule>
  </conditionalFormatting>
  <conditionalFormatting sqref="AU8:BC100 AU6:AW7 AY6:BK6 AY7:BC7 BD7:BK100">
    <cfRule type="expression" dxfId="44" priority="58">
      <formula>$AT6="IF"</formula>
    </cfRule>
  </conditionalFormatting>
  <conditionalFormatting sqref="AY6:AZ100">
    <cfRule type="expression" dxfId="43" priority="53">
      <formula>$AW6="Curls"</formula>
    </cfRule>
  </conditionalFormatting>
  <conditionalFormatting sqref="AU8:BC100 AU6:AW7 AY6:BN6 AY7:BC7 BD7:BN100">
    <cfRule type="expression" dxfId="42" priority="75">
      <formula>$AT6="Storage Only"</formula>
    </cfRule>
  </conditionalFormatting>
  <conditionalFormatting sqref="AY6:BC100">
    <cfRule type="notContainsBlanks" dxfId="41" priority="24">
      <formula>LEN(TRIM(AY6))&gt;0</formula>
    </cfRule>
    <cfRule type="expression" dxfId="40" priority="50">
      <formula>$AW6="Microdissect"</formula>
    </cfRule>
  </conditionalFormatting>
  <conditionalFormatting sqref="BL6:BN100">
    <cfRule type="notContainsBlanks" dxfId="39" priority="27">
      <formula>LEN(TRIM(BL6))&gt;0</formula>
    </cfRule>
    <cfRule type="expression" dxfId="38" priority="30">
      <formula>$AT6="IF"</formula>
    </cfRule>
  </conditionalFormatting>
  <conditionalFormatting sqref="O6:O100">
    <cfRule type="expression" dxfId="37" priority="37">
      <formula>$L6="No"</formula>
    </cfRule>
  </conditionalFormatting>
  <conditionalFormatting sqref="BE6:BK100">
    <cfRule type="notContainsBlanks" dxfId="36" priority="11">
      <formula>LEN(TRIM(BE6))&gt;0</formula>
    </cfRule>
    <cfRule type="expression" dxfId="35" priority="49">
      <formula>$BD6="IGO"</formula>
    </cfRule>
  </conditionalFormatting>
  <conditionalFormatting sqref="Z6:AE100">
    <cfRule type="notContainsBlanks" dxfId="34" priority="60">
      <formula>LEN(TRIM(Z6))&gt;0</formula>
    </cfRule>
    <cfRule type="expression" dxfId="33" priority="61">
      <formula>$Y6="Sorted Single Cell Sequencing"</formula>
    </cfRule>
  </conditionalFormatting>
  <conditionalFormatting sqref="AU6:BC100">
    <cfRule type="expression" dxfId="32" priority="54">
      <formula>$T6="FFPE Block"</formula>
    </cfRule>
  </conditionalFormatting>
  <conditionalFormatting sqref="AG6:AP100 U6:AE100">
    <cfRule type="expression" dxfId="31" priority="36">
      <formula>$T6="Frozen Tissue"</formula>
    </cfRule>
    <cfRule type="expression" dxfId="30" priority="40">
      <formula>$T6="FFPE Block"</formula>
    </cfRule>
  </conditionalFormatting>
  <conditionalFormatting sqref="BP6:CA100">
    <cfRule type="notContainsBlanks" dxfId="29" priority="3">
      <formula>LEN(TRIM(BP6))&gt;0</formula>
    </cfRule>
    <cfRule type="expression" dxfId="28" priority="1">
      <formula>$Y6="Storage Only"</formula>
    </cfRule>
  </conditionalFormatting>
  <conditionalFormatting sqref="BO6:BO100">
    <cfRule type="notContainsBlanks" dxfId="27" priority="14">
      <formula>LEN(TRIM(BO6))&gt;0</formula>
    </cfRule>
    <cfRule type="expression" dxfId="26" priority="19">
      <formula>$Y6 = "Storage Only"</formula>
    </cfRule>
  </conditionalFormatting>
  <conditionalFormatting sqref="AH6:AH100">
    <cfRule type="notContainsBlanks" dxfId="25" priority="4">
      <formula>LEN(TRIM(AH6))&gt;0</formula>
    </cfRule>
    <cfRule type="expression" dxfId="24" priority="23">
      <formula>$AE6 = "scRNA Sequencing"</formula>
    </cfRule>
    <cfRule type="expression" dxfId="23" priority="22">
      <formula>$AE6="DLP"</formula>
    </cfRule>
  </conditionalFormatting>
  <conditionalFormatting sqref="M7:M11">
    <cfRule type="expression" dxfId="22" priority="17">
      <formula>$L7="Yes"</formula>
    </cfRule>
  </conditionalFormatting>
  <conditionalFormatting sqref="M12:M38">
    <cfRule type="expression" dxfId="21" priority="16">
      <formula>$L12="Yes"</formula>
    </cfRule>
  </conditionalFormatting>
  <conditionalFormatting sqref="AU6:AW100">
    <cfRule type="expression" dxfId="20" priority="56">
      <formula>$AT6="WGS Bulk Tumour"</formula>
    </cfRule>
  </conditionalFormatting>
  <conditionalFormatting sqref="AX6:AX100">
    <cfRule type="expression" dxfId="19" priority="34">
      <formula>$AW6="Microdissect"</formula>
    </cfRule>
  </conditionalFormatting>
  <conditionalFormatting sqref="AX6">
    <cfRule type="expression" dxfId="18" priority="106">
      <formula>$Y7="Storage Only"</formula>
    </cfRule>
  </conditionalFormatting>
  <conditionalFormatting sqref="AX6">
    <cfRule type="expression" dxfId="17" priority="108">
      <formula>$AT7="IF"</formula>
    </cfRule>
  </conditionalFormatting>
  <conditionalFormatting sqref="AX6">
    <cfRule type="expression" dxfId="16" priority="110">
      <formula>$AT7="Storage Only"</formula>
    </cfRule>
  </conditionalFormatting>
  <conditionalFormatting sqref="AX6">
    <cfRule type="expression" dxfId="15" priority="114">
      <formula>$T7="Single Cell Suspension"</formula>
    </cfRule>
  </conditionalFormatting>
  <conditionalFormatting sqref="AX6:AX100 BA6 BA6:BC100">
    <cfRule type="expression" dxfId="14" priority="28">
      <formula>$AW6="Curls"</formula>
    </cfRule>
  </conditionalFormatting>
  <conditionalFormatting sqref="AQ6:BN100">
    <cfRule type="expression" dxfId="13" priority="31">
      <formula>$T6="Single Cell Suspensions"</formula>
    </cfRule>
  </conditionalFormatting>
  <conditionalFormatting sqref="BD6:BK100">
    <cfRule type="expression" dxfId="12" priority="46">
      <formula>$T6="FFPE Block"</formula>
    </cfRule>
  </conditionalFormatting>
  <conditionalFormatting sqref="Z6:BN100">
    <cfRule type="expression" dxfId="11" priority="74">
      <formula>$Y6="Storage Only"</formula>
    </cfRule>
  </conditionalFormatting>
  <conditionalFormatting sqref="AQ6:BO100">
    <cfRule type="expression" dxfId="10" priority="48">
      <formula>$AE6="DLP"</formula>
    </cfRule>
  </conditionalFormatting>
  <conditionalFormatting sqref="BX6:CA100">
    <cfRule type="expression" dxfId="9" priority="10">
      <formula>$BQ6="BCCRC"</formula>
    </cfRule>
    <cfRule type="expression" dxfId="8" priority="6">
      <formula>$BQ6="IGO"</formula>
    </cfRule>
  </conditionalFormatting>
  <conditionalFormatting sqref="BX13:CA13">
    <cfRule type="notContainsBlanks" dxfId="7" priority="8">
      <formula>LEN(TRIM(BX13))&gt;0</formula>
    </cfRule>
  </conditionalFormatting>
  <conditionalFormatting sqref="BO6:CA100">
    <cfRule type="expression" dxfId="6" priority="25">
      <formula>$AT6 = "Storage Only"</formula>
    </cfRule>
    <cfRule type="expression" dxfId="5" priority="2">
      <formula>$T5="FFPE Block"</formula>
    </cfRule>
  </conditionalFormatting>
  <conditionalFormatting sqref="BP6:BQ100">
    <cfRule type="expression" dxfId="4" priority="26">
      <formula>$AE6 = "DLP"</formula>
    </cfRule>
  </conditionalFormatting>
  <conditionalFormatting sqref="BR6:BW100">
    <cfRule type="expression" dxfId="3" priority="18">
      <formula>$BQ6="BCCRC"</formula>
    </cfRule>
    <cfRule type="expression" dxfId="2" priority="7">
      <formula>$BQ6="IGO"</formula>
    </cfRule>
  </conditionalFormatting>
  <conditionalFormatting sqref="AQ6:CA100">
    <cfRule type="expression" dxfId="1" priority="12">
      <formula>$AE6="scRNA Sequencing"</formula>
    </cfRule>
  </conditionalFormatting>
  <conditionalFormatting sqref="BL6:CA100">
    <cfRule type="expression" dxfId="0" priority="39">
      <formula>$AT6="WGS Bulk Tumour"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AW6:AW100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abSelected="1" topLeftCell="F1" workbookViewId="0">
      <selection activeCell="K13" sqref="K1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207</v>
      </c>
      <c r="R2" s="3" t="s">
        <v>241</v>
      </c>
      <c r="S2" s="3" t="s">
        <v>28</v>
      </c>
      <c r="T2" s="3" t="s">
        <v>29</v>
      </c>
      <c r="U2" s="3" t="s">
        <v>34</v>
      </c>
      <c r="V2" s="3" t="s">
        <v>260</v>
      </c>
      <c r="W2" s="3" t="s">
        <v>40</v>
      </c>
      <c r="X2" s="3" t="s">
        <v>232</v>
      </c>
      <c r="Y2" s="3" t="s">
        <v>281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289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209</v>
      </c>
      <c r="R3" s="1" t="s">
        <v>242</v>
      </c>
      <c r="S3" s="1" t="s">
        <v>205</v>
      </c>
      <c r="T3" s="1" t="s">
        <v>206</v>
      </c>
      <c r="U3" s="1" t="s">
        <v>168</v>
      </c>
      <c r="V3" s="1" t="s">
        <v>261</v>
      </c>
      <c r="W3" s="1" t="s">
        <v>203</v>
      </c>
      <c r="X3" s="1" t="s">
        <v>233</v>
      </c>
      <c r="Y3" s="1" t="s">
        <v>282</v>
      </c>
    </row>
    <row r="4" spans="1:26" x14ac:dyDescent="0.2">
      <c r="B4" s="1" t="s">
        <v>55</v>
      </c>
      <c r="C4" s="1" t="s">
        <v>235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290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208</v>
      </c>
      <c r="R4" s="1" t="s">
        <v>243</v>
      </c>
      <c r="S4" s="1" t="str">
        <f>" "</f>
        <v xml:space="preserve"> </v>
      </c>
      <c r="T4" s="1" t="s">
        <v>239</v>
      </c>
      <c r="U4" s="1" t="s">
        <v>167</v>
      </c>
      <c r="V4" s="1" t="s">
        <v>262</v>
      </c>
      <c r="W4" s="1" t="s">
        <v>204</v>
      </c>
      <c r="X4" s="1" t="s">
        <v>190</v>
      </c>
      <c r="Y4" s="1" t="s">
        <v>283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K5" s="1" t="s">
        <v>188</v>
      </c>
      <c r="L5" s="1" t="s">
        <v>190</v>
      </c>
      <c r="N5" s="1" t="s">
        <v>196</v>
      </c>
      <c r="O5" s="1" t="s">
        <v>200</v>
      </c>
      <c r="T5" s="1" t="s">
        <v>240</v>
      </c>
      <c r="W5" s="1" t="s">
        <v>210</v>
      </c>
      <c r="X5" s="1" t="s">
        <v>285</v>
      </c>
      <c r="Y5" s="1" t="s">
        <v>284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245</v>
      </c>
    </row>
    <row r="104" spans="2:2" x14ac:dyDescent="0.2">
      <c r="B104" s="1" t="s">
        <v>246</v>
      </c>
    </row>
    <row r="105" spans="2:2" x14ac:dyDescent="0.2">
      <c r="B105" s="1" t="s">
        <v>247</v>
      </c>
    </row>
    <row r="106" spans="2:2" x14ac:dyDescent="0.2">
      <c r="B106" s="1" t="s">
        <v>248</v>
      </c>
    </row>
    <row r="107" spans="2:2" x14ac:dyDescent="0.2">
      <c r="B107" s="1" t="s">
        <v>249</v>
      </c>
    </row>
    <row r="108" spans="2:2" x14ac:dyDescent="0.2">
      <c r="B108" s="1" t="s">
        <v>250</v>
      </c>
    </row>
    <row r="109" spans="2:2" x14ac:dyDescent="0.2">
      <c r="B109" s="1" t="s">
        <v>252</v>
      </c>
    </row>
    <row r="110" spans="2:2" x14ac:dyDescent="0.2">
      <c r="B110" s="1" t="s">
        <v>251</v>
      </c>
    </row>
    <row r="111" spans="2:2" x14ac:dyDescent="0.2">
      <c r="B111" s="1" t="s">
        <v>253</v>
      </c>
    </row>
    <row r="112" spans="2:2" x14ac:dyDescent="0.2">
      <c r="B112" s="1" t="s">
        <v>268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2"/>
  <sheetViews>
    <sheetView topLeftCell="BT1" zoomScale="120" zoomScaleNormal="120" workbookViewId="0">
      <selection activeCell="AT19" sqref="AT19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0"/>
      <c r="B1" t="s">
        <v>286</v>
      </c>
    </row>
    <row r="2" spans="1:79" x14ac:dyDescent="0.2">
      <c r="A2" s="42"/>
      <c r="B2" t="s">
        <v>287</v>
      </c>
    </row>
    <row r="3" spans="1:79" x14ac:dyDescent="0.2">
      <c r="A3" s="45" t="str">
        <f ca="1">IF($D3="", "", INDIRECT("$D6"))</f>
        <v/>
      </c>
      <c r="B3" t="s">
        <v>288</v>
      </c>
    </row>
    <row r="4" spans="1:79" x14ac:dyDescent="0.2">
      <c r="A4" s="52" t="s">
        <v>41</v>
      </c>
      <c r="B4" s="52"/>
      <c r="C4" s="52"/>
      <c r="D4" s="52"/>
      <c r="E4" s="52"/>
      <c r="F4" s="52" t="s">
        <v>42</v>
      </c>
      <c r="G4" s="52"/>
      <c r="H4" s="52"/>
      <c r="I4" s="52"/>
      <c r="J4" s="52"/>
      <c r="K4" s="52"/>
      <c r="L4" s="36" t="s">
        <v>43</v>
      </c>
      <c r="M4" s="52" t="s">
        <v>44</v>
      </c>
      <c r="N4" s="52"/>
      <c r="O4" s="36"/>
      <c r="P4" s="52" t="s">
        <v>45</v>
      </c>
      <c r="Q4" s="52"/>
      <c r="R4" s="52"/>
      <c r="S4" s="52"/>
      <c r="T4" s="52"/>
      <c r="U4" s="52" t="s">
        <v>46</v>
      </c>
      <c r="V4" s="52"/>
      <c r="W4" s="52"/>
      <c r="X4" s="52"/>
      <c r="Y4" s="52"/>
      <c r="Z4" s="36" t="s">
        <v>47</v>
      </c>
      <c r="AA4" s="52" t="s">
        <v>48</v>
      </c>
      <c r="AB4" s="52"/>
      <c r="AC4" s="52"/>
      <c r="AD4" s="52" t="s">
        <v>263</v>
      </c>
      <c r="AE4" s="52"/>
      <c r="AF4" s="52" t="s">
        <v>264</v>
      </c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 t="s">
        <v>49</v>
      </c>
      <c r="AR4" s="52"/>
      <c r="AS4" s="52"/>
      <c r="AT4" s="52"/>
      <c r="AU4" s="52" t="s">
        <v>50</v>
      </c>
      <c r="AV4" s="52"/>
      <c r="AW4" s="36"/>
      <c r="AX4" s="36" t="s">
        <v>265</v>
      </c>
      <c r="AY4" s="52" t="s">
        <v>51</v>
      </c>
      <c r="AZ4" s="52"/>
      <c r="BA4" s="52" t="s">
        <v>52</v>
      </c>
      <c r="BB4" s="52"/>
      <c r="BC4" s="52" t="s">
        <v>214</v>
      </c>
      <c r="BD4" s="52"/>
      <c r="BE4" s="52"/>
      <c r="BF4" s="52"/>
      <c r="BG4" s="52"/>
      <c r="BH4" s="52"/>
      <c r="BI4" s="52"/>
      <c r="BJ4" s="52"/>
      <c r="BK4" s="52"/>
      <c r="BL4" s="52" t="s">
        <v>53</v>
      </c>
      <c r="BM4" s="52"/>
      <c r="BN4" s="52"/>
      <c r="BO4" s="36" t="s">
        <v>266</v>
      </c>
      <c r="BP4" s="52" t="s">
        <v>269</v>
      </c>
      <c r="BQ4" s="52"/>
      <c r="BR4" s="52" t="s">
        <v>274</v>
      </c>
      <c r="BS4" s="52"/>
      <c r="BT4" s="52"/>
      <c r="BU4" s="52"/>
      <c r="BV4" s="52"/>
      <c r="BW4" s="52"/>
      <c r="BX4" s="52" t="s">
        <v>279</v>
      </c>
      <c r="BY4" s="52"/>
      <c r="BZ4" s="52"/>
      <c r="CA4" s="52"/>
    </row>
    <row r="5" spans="1:79" x14ac:dyDescent="0.2">
      <c r="A5" s="37" t="s">
        <v>1</v>
      </c>
      <c r="B5" s="37" t="s">
        <v>212</v>
      </c>
      <c r="C5" s="37" t="s">
        <v>213</v>
      </c>
      <c r="D5" s="38" t="s">
        <v>0</v>
      </c>
      <c r="E5" s="38" t="s">
        <v>234</v>
      </c>
      <c r="F5" s="37" t="s">
        <v>2</v>
      </c>
      <c r="G5" s="38" t="s">
        <v>3</v>
      </c>
      <c r="H5" s="38" t="s">
        <v>267</v>
      </c>
      <c r="I5" s="38" t="s">
        <v>4</v>
      </c>
      <c r="J5" s="37" t="s">
        <v>5</v>
      </c>
      <c r="K5" s="38" t="s">
        <v>211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230</v>
      </c>
      <c r="AG5" s="37" t="s">
        <v>229</v>
      </c>
      <c r="AH5" s="37" t="s">
        <v>244</v>
      </c>
      <c r="AI5" s="37" t="s">
        <v>27</v>
      </c>
      <c r="AJ5" s="37" t="s">
        <v>228</v>
      </c>
      <c r="AK5" s="37" t="s">
        <v>227</v>
      </c>
      <c r="AL5" s="37" t="s">
        <v>226</v>
      </c>
      <c r="AM5" s="37" t="s">
        <v>225</v>
      </c>
      <c r="AN5" s="37" t="s">
        <v>224</v>
      </c>
      <c r="AO5" s="37" t="s">
        <v>223</v>
      </c>
      <c r="AP5" s="37" t="s">
        <v>29</v>
      </c>
      <c r="AQ5" s="37" t="s">
        <v>30</v>
      </c>
      <c r="AR5" s="37" t="s">
        <v>31</v>
      </c>
      <c r="AS5" s="37" t="s">
        <v>32</v>
      </c>
      <c r="AT5" s="37" t="s">
        <v>232</v>
      </c>
      <c r="AU5" s="37" t="s">
        <v>33</v>
      </c>
      <c r="AV5" s="37" t="s">
        <v>34</v>
      </c>
      <c r="AW5" s="37" t="s">
        <v>260</v>
      </c>
      <c r="AX5" s="37" t="s">
        <v>259</v>
      </c>
      <c r="AY5" s="37" t="s">
        <v>35</v>
      </c>
      <c r="AZ5" s="37" t="s">
        <v>36</v>
      </c>
      <c r="BA5" s="37" t="s">
        <v>37</v>
      </c>
      <c r="BB5" s="37" t="s">
        <v>38</v>
      </c>
      <c r="BC5" s="37" t="s">
        <v>215</v>
      </c>
      <c r="BD5" s="37" t="s">
        <v>222</v>
      </c>
      <c r="BE5" s="37" t="s">
        <v>221</v>
      </c>
      <c r="BF5" s="37" t="s">
        <v>220</v>
      </c>
      <c r="BG5" s="37" t="s">
        <v>219</v>
      </c>
      <c r="BH5" s="37" t="s">
        <v>280</v>
      </c>
      <c r="BI5" s="37" t="s">
        <v>218</v>
      </c>
      <c r="BJ5" s="37" t="s">
        <v>217</v>
      </c>
      <c r="BK5" s="37" t="s">
        <v>216</v>
      </c>
      <c r="BL5" s="37" t="s">
        <v>231</v>
      </c>
      <c r="BM5" s="37" t="s">
        <v>39</v>
      </c>
      <c r="BN5" s="37" t="s">
        <v>40</v>
      </c>
      <c r="BO5" s="37" t="s">
        <v>258</v>
      </c>
      <c r="BP5" s="37" t="s">
        <v>254</v>
      </c>
      <c r="BQ5" s="37" t="s">
        <v>255</v>
      </c>
      <c r="BR5" s="37" t="s">
        <v>256</v>
      </c>
      <c r="BS5" s="37" t="s">
        <v>257</v>
      </c>
      <c r="BT5" s="37" t="s">
        <v>270</v>
      </c>
      <c r="BU5" s="37" t="s">
        <v>271</v>
      </c>
      <c r="BV5" s="37" t="s">
        <v>272</v>
      </c>
      <c r="BW5" s="37" t="s">
        <v>273</v>
      </c>
      <c r="BX5" s="37" t="s">
        <v>275</v>
      </c>
      <c r="BY5" s="37" t="s">
        <v>276</v>
      </c>
      <c r="BZ5" s="37" t="s">
        <v>277</v>
      </c>
      <c r="CA5" s="37" t="s">
        <v>278</v>
      </c>
    </row>
    <row r="6" spans="1:79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176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 t="str">
        <f t="shared" ref="BD6:BD23" si="3"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167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35"/>
      <c r="AY7" s="10"/>
      <c r="AZ7" s="10"/>
      <c r="BA7" s="10"/>
      <c r="BB7" s="10"/>
      <c r="BC7" s="16"/>
      <c r="BD7" s="10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188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189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193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189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191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201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2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186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5"/>
      <c r="BP14" s="12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187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5"/>
      <c r="BP15" s="12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8" t="s">
        <v>285</v>
      </c>
      <c r="AU16" s="40"/>
      <c r="AV16" s="39"/>
      <c r="AW16" s="39"/>
      <c r="AX16" s="10"/>
      <c r="AY16" s="10"/>
      <c r="AZ16" s="10"/>
      <c r="BA16" s="10"/>
      <c r="BB16" s="10"/>
      <c r="BC16" s="16"/>
      <c r="BD16" s="10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8"/>
      <c r="AV17" s="46"/>
      <c r="AW17" s="8" t="s">
        <v>261</v>
      </c>
      <c r="AX17" s="39"/>
      <c r="AY17" s="8"/>
      <c r="AZ17" s="8"/>
      <c r="BA17" s="39"/>
      <c r="BB17" s="39"/>
      <c r="BC17" s="40"/>
      <c r="BD17" s="39" t="str">
        <f t="shared" si="3"/>
        <v/>
      </c>
      <c r="BE17" s="39"/>
      <c r="BF17" s="39"/>
      <c r="BG17" s="39"/>
      <c r="BH17" s="39"/>
      <c r="BI17" s="39"/>
      <c r="BJ17" s="39"/>
      <c r="BK17" s="39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8"/>
      <c r="AV18" s="46"/>
      <c r="AW18" s="8" t="s">
        <v>262</v>
      </c>
      <c r="AX18" s="8"/>
      <c r="AY18" s="39"/>
      <c r="AZ18" s="39"/>
      <c r="BA18" s="39"/>
      <c r="BB18" s="39"/>
      <c r="BC18" s="40"/>
      <c r="BD18" s="39" t="str">
        <f t="shared" si="3"/>
        <v/>
      </c>
      <c r="BE18" s="39"/>
      <c r="BF18" s="39"/>
      <c r="BG18" s="39"/>
      <c r="BH18" s="39"/>
      <c r="BI18" s="39"/>
      <c r="BJ18" s="39"/>
      <c r="BK18" s="39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8" t="s">
        <v>233</v>
      </c>
      <c r="AU19" s="17"/>
      <c r="AV19" s="8"/>
      <c r="AW19" s="8"/>
      <c r="AX19" s="8"/>
      <c r="AY19" s="8"/>
      <c r="AZ19" s="8"/>
      <c r="BA19" s="8"/>
      <c r="BB19" s="8"/>
      <c r="BC19" s="17"/>
      <c r="BD19" s="8" t="str">
        <f t="shared" si="3"/>
        <v/>
      </c>
      <c r="BE19" s="8"/>
      <c r="BF19" s="8"/>
      <c r="BG19" s="8"/>
      <c r="BH19" s="8"/>
      <c r="BI19" s="8"/>
      <c r="BJ19" s="8"/>
      <c r="BK19" s="8"/>
      <c r="BL19" s="40"/>
      <c r="BM19" s="39"/>
      <c r="BN19" s="39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190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17"/>
      <c r="AV20" s="8"/>
      <c r="AW20" s="8"/>
      <c r="AX20" s="8"/>
      <c r="AY20" s="8"/>
      <c r="AZ20" s="8"/>
      <c r="BA20" s="8"/>
      <c r="BB20" s="8"/>
      <c r="BC20" s="17"/>
      <c r="BD20" s="8" t="str">
        <f t="shared" si="3"/>
        <v/>
      </c>
      <c r="BE20" s="8"/>
      <c r="BF20" s="8"/>
      <c r="BG20" s="8"/>
      <c r="BH20" s="8"/>
      <c r="BI20" s="8"/>
      <c r="BJ20" s="8"/>
      <c r="BK20" s="8"/>
      <c r="BL20" s="17"/>
      <c r="BM20" s="8"/>
      <c r="BN20" s="8"/>
      <c r="BO20" s="39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202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17"/>
      <c r="AV21" s="8"/>
      <c r="AW21" s="8"/>
      <c r="AX21" s="8"/>
      <c r="AY21" s="8"/>
      <c r="AZ21" s="8"/>
      <c r="BA21" s="8"/>
      <c r="BB21" s="8"/>
      <c r="BC21" s="17"/>
      <c r="BD21" s="8" t="str">
        <f t="shared" si="3"/>
        <v/>
      </c>
      <c r="BE21" s="8"/>
      <c r="BF21" s="8"/>
      <c r="BG21" s="8"/>
      <c r="BH21" s="8"/>
      <c r="BI21" s="8"/>
      <c r="BJ21" s="8"/>
      <c r="BK21" s="8"/>
      <c r="BL21" s="17"/>
      <c r="BM21" s="8"/>
      <c r="BN21" s="8"/>
      <c r="BO21" s="8"/>
      <c r="BP21" s="40"/>
      <c r="BQ21" s="39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8"/>
      <c r="AV22" s="46"/>
      <c r="AW22" s="46"/>
      <c r="AX22" s="46"/>
      <c r="AY22" s="46"/>
      <c r="AZ22" s="46"/>
      <c r="BA22" s="46"/>
      <c r="BB22" s="46"/>
      <c r="BC22" s="48"/>
      <c r="BD22" s="46" t="str">
        <f t="shared" si="3"/>
        <v/>
      </c>
      <c r="BE22" s="46"/>
      <c r="BF22" s="46"/>
      <c r="BG22" s="46"/>
      <c r="BH22" s="46"/>
      <c r="BI22" s="46"/>
      <c r="BJ22" s="46"/>
      <c r="BK22" s="46"/>
      <c r="BL22" s="48"/>
      <c r="BM22" s="46"/>
      <c r="BN22" s="46"/>
      <c r="BO22" s="46"/>
      <c r="BP22" s="48"/>
      <c r="BQ22" s="8" t="s">
        <v>208</v>
      </c>
      <c r="BR22" s="39"/>
      <c r="BS22" s="39"/>
      <c r="BT22" s="39"/>
      <c r="BU22" s="39"/>
      <c r="BV22" s="39"/>
      <c r="BW22" s="39"/>
      <c r="BX22" s="35"/>
      <c r="BY22" s="35"/>
      <c r="BZ22" s="35"/>
      <c r="CA22" s="35"/>
    </row>
    <row r="23" spans="1:79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8"/>
      <c r="AV23" s="46"/>
      <c r="AW23" s="46"/>
      <c r="AX23" s="46"/>
      <c r="AY23" s="46"/>
      <c r="AZ23" s="46"/>
      <c r="BA23" s="46"/>
      <c r="BB23" s="46"/>
      <c r="BC23" s="48"/>
      <c r="BD23" s="46" t="str">
        <f t="shared" si="3"/>
        <v/>
      </c>
      <c r="BE23" s="46"/>
      <c r="BF23" s="46"/>
      <c r="BG23" s="46"/>
      <c r="BH23" s="46"/>
      <c r="BI23" s="46"/>
      <c r="BJ23" s="46"/>
      <c r="BK23" s="46"/>
      <c r="BL23" s="48"/>
      <c r="BM23" s="46"/>
      <c r="BN23" s="46"/>
      <c r="BO23" s="46"/>
      <c r="BP23" s="48"/>
      <c r="BQ23" s="8" t="s">
        <v>209</v>
      </c>
      <c r="BR23" s="8"/>
      <c r="BS23" s="8"/>
      <c r="BT23" s="8"/>
      <c r="BU23" s="8"/>
      <c r="BV23" s="8"/>
      <c r="BW23" s="8"/>
      <c r="BX23" s="39"/>
      <c r="BY23" s="39"/>
      <c r="BZ23" s="39"/>
      <c r="CA23" s="39"/>
    </row>
    <row r="24" spans="1:79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5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6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7">IF($AF24="", "", "IGO")</f>
        <v/>
      </c>
      <c r="AH24" s="10"/>
      <c r="AI24" s="10" t="str">
        <f t="shared" ref="AI24:AI62" ca="1" si="8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ref="BD24:BD62" si="9">IF($BC24="", "", "IGO")</f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/>
      <c r="BR24" s="10"/>
      <c r="BS24" s="35"/>
      <c r="BT24" s="35"/>
      <c r="BU24" s="35"/>
      <c r="BV24" s="35"/>
      <c r="BW24" s="35"/>
      <c r="BX24" s="35"/>
      <c r="BY24" s="35"/>
      <c r="BZ24" s="35"/>
      <c r="CA24" s="35"/>
    </row>
    <row r="25" spans="1:79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5"/>
        <v/>
      </c>
      <c r="G25" s="35"/>
      <c r="H25" s="12"/>
      <c r="I25" s="35"/>
      <c r="J25" s="10" t="str">
        <f t="shared" si="6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7"/>
        <v/>
      </c>
      <c r="AH25" s="10"/>
      <c r="AI25" s="10" t="str">
        <f t="shared" ca="1" si="8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9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9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9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9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10" t="str">
        <f t="shared" si="9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10" t="str">
        <f t="shared" si="9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9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10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9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10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9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10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9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10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9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10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9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9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9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9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9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9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9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9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9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9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0"/>
      <c r="BD46" s="10" t="str">
        <f t="shared" si="9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0"/>
      <c r="BD47" s="10" t="str">
        <f t="shared" si="9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9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9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9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9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9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9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10" t="str">
        <f t="shared" si="9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10" t="str">
        <f t="shared" si="9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9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9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9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9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9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9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9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ref="BD63:BD92" si="15">IF($BC63="", "", "IGO")</f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15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15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15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15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15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15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15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0"/>
      <c r="BD71" s="10" t="str">
        <f t="shared" si="15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0"/>
      <c r="BD72" s="10" t="str">
        <f t="shared" si="15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5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5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5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5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5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5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10" t="str">
        <f t="shared" si="15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10" t="str">
        <f t="shared" si="15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5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5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5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5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5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5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5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5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5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5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5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5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</sheetData>
  <mergeCells count="17">
    <mergeCell ref="BA4:BB4"/>
    <mergeCell ref="A4:E4"/>
    <mergeCell ref="F4:K4"/>
    <mergeCell ref="M4:N4"/>
    <mergeCell ref="P4:T4"/>
    <mergeCell ref="U4:Y4"/>
    <mergeCell ref="AA4:AC4"/>
    <mergeCell ref="AD4:AE4"/>
    <mergeCell ref="AF4:AP4"/>
    <mergeCell ref="AQ4:AT4"/>
    <mergeCell ref="AU4:AV4"/>
    <mergeCell ref="AY4:AZ4"/>
    <mergeCell ref="BC4:BK4"/>
    <mergeCell ref="BL4:BN4"/>
    <mergeCell ref="BP4:BQ4"/>
    <mergeCell ref="BR4:BW4"/>
    <mergeCell ref="BX4:CA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W48:AW57 AW24:AW32 AW73:AW82" xr:uid="{2E2BBFC0-C102-F641-A30B-2BF8E11C0BAE}">
      <formula1>$V$6:$V$8</formula1>
    </dataValidation>
    <dataValidation type="list" allowBlank="1" showInputMessage="1" showErrorMessage="1" sqref="BN24:BN32 BN48:BN57 BN73:BN82" xr:uid="{491C0E81-8015-754F-B6DE-777ABA776FC6}">
      <formula1>$W$6:$W$9</formula1>
    </dataValidation>
    <dataValidation type="list" allowBlank="1" showInputMessage="1" showErrorMessage="1" sqref="AV24:AV32 AV48:AV57 AV73:AV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AW6:AW15 AW17:AW18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BN6:BN15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AV6:AV15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BH6:BH92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BU6:BU92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AT6:AT92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BQ6:BQ92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BO6:BO92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I6:I92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2020-05-05T20:30:56Z</dcterms:modified>
</cp:coreProperties>
</file>