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DFBFBD4D-81F6-ED42-B8C9-19514D640986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fileRecoveryPr repairLoad="1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W7" i="1"/>
  <c r="W8" i="1"/>
  <c r="W9" i="1"/>
  <c r="W10" i="1"/>
  <c r="W11" i="1"/>
  <c r="W12" i="1"/>
  <c r="W13" i="1"/>
  <c r="W14" i="1"/>
  <c r="W15" i="1"/>
  <c r="W6" i="1"/>
  <c r="AG15" i="1"/>
  <c r="AG14" i="1"/>
  <c r="AG13" i="1"/>
  <c r="AG12" i="1"/>
  <c r="AG11" i="1"/>
  <c r="AG10" i="1"/>
  <c r="AG9" i="1"/>
  <c r="AG8" i="1"/>
  <c r="AG7" i="1"/>
  <c r="AG6" i="1"/>
  <c r="M5" i="1"/>
  <c r="W5" i="1"/>
  <c r="M15" i="1"/>
  <c r="M14" i="1"/>
  <c r="M13" i="1"/>
  <c r="L5" i="1"/>
  <c r="J15" i="1"/>
  <c r="J14" i="1"/>
  <c r="J13" i="1"/>
  <c r="J12" i="1"/>
  <c r="J11" i="1"/>
  <c r="J10" i="1"/>
  <c r="J9" i="1"/>
  <c r="J8" i="1"/>
  <c r="J7" i="1"/>
  <c r="J6" i="1"/>
  <c r="J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<sst xmlns="http://schemas.openxmlformats.org/spreadsheetml/2006/main" count="298" uniqueCount="249">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</sst>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T139"/>
  <sheetViews>
    <sheetView tabSelected="1" topLeftCell="Q1" zoomScale="110" zoomScaleNormal="110" workbookViewId="0">
      <pane ySplit="4" topLeftCell="A6" activePane="bottomLeft" state="frozen"/>
      <selection activeCell="P1" sqref="P1"/>
      <selection pane="bottomLeft" activeCell="V32" sqref="V32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17.33203125" style="13" customWidth="1"/>
    <col min="6" max="6" width="8.83203125" style="2" bestFit="1" customWidth="1"/>
    <col min="7" max="7" width="12.83203125" style="2" bestFit="1" customWidth="1"/>
    <col min="8" max="8" width="12.83203125" style="13" customWidth="1"/>
    <col min="9" max="9" width="7.83203125" style="2" bestFit="1" customWidth="1"/>
    <col min="10" max="10" width="14.6640625" style="2" bestFit="1" customWidth="1"/>
    <col min="11" max="11" width="12.6640625" style="2" bestFit="1" customWidth="1"/>
    <col min="12" max="12" width="14.33203125" style="2" bestFit="1" customWidth="1"/>
    <col min="13" max="13" width="13.8320312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2.83203125" style="2" bestFit="1" customWidth="1"/>
    <col min="18" max="18" width="10.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16.6640625" style="2" customWidth="1"/>
    <col min="35" max="35" width="12.5" style="2" customWidth="1"/>
    <col min="36" max="36" width="22.6640625" style="2" customWidth="1"/>
    <col min="37" max="37" width="19.5" style="2" customWidth="1"/>
    <col min="38" max="38" width="19" style="2" customWidth="1"/>
    <col min="39" max="40" width="25.33203125" style="2" customWidth="1"/>
    <col min="41" max="41" width="9.6640625" style="2" customWidth="1"/>
    <col min="42" max="42" width="12.1640625" style="2" customWidth="1"/>
    <col min="43" max="43" width="13.1640625" style="2" customWidth="1"/>
    <col min="44" max="44" width="6" style="2" customWidth="1"/>
    <col min="45" max="45" width="17.1640625" style="2" customWidth="1"/>
    <col min="46" max="46" width="19" style="2" customWidth="1"/>
    <col min="47" max="47" width="15.33203125" style="2" customWidth="1"/>
    <col min="48" max="48" width="26.83203125" style="2" bestFit="1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18.1640625" style="2" customWidth="1"/>
    <col min="60" max="60" width="10.83203125" style="2" customWidth="1"/>
    <col min="61" max="61" width="16.33203125" style="2" customWidth="1"/>
    <col min="62" max="62" width="13.1640625" style="2" customWidth="1"/>
    <col min="63" max="63" width="12.83203125" style="2" customWidth="1"/>
    <col min="64" max="64" width="24.1640625" style="2" bestFit="1" customWidth="1"/>
    <col min="65" max="65" width="19" style="2" customWidth="1"/>
    <col min="66" max="66" width="22.1640625" style="2" customWidth="1"/>
    <col min="67" max="67" width="16.6640625" style="2" customWidth="1"/>
    <col min="68" max="68" width="7.6640625" style="2" customWidth="1"/>
    <col min="69" max="16384" width="10.83203125" style="2"/>
  </cols>
  <sheetData>
    <row r="3" spans="1:72" s="6" customFormat="1" x14ac:dyDescent="0.2">
      <c r="A3" s="14" t="s">
        <v>47</v>
      </c>
      <c r="B3" s="14"/>
      <c r="C3" s="14"/>
      <c r="D3" s="14"/>
      <c r="E3" s="12"/>
      <c r="F3" s="14" t="s">
        <v>48</v>
      </c>
      <c r="G3" s="14"/>
      <c r="H3" s="14"/>
      <c r="I3" s="14"/>
      <c r="J3" s="14"/>
      <c r="K3" s="14"/>
      <c r="L3" s="7" t="s">
        <v>49</v>
      </c>
      <c r="M3" s="14" t="s">
        <v>50</v>
      </c>
      <c r="N3" s="14"/>
      <c r="O3" s="8"/>
      <c r="P3" s="14" t="s">
        <v>51</v>
      </c>
      <c r="Q3" s="14"/>
      <c r="R3" s="14"/>
      <c r="S3" s="14"/>
      <c r="T3" s="14"/>
      <c r="U3" s="14" t="s">
        <v>52</v>
      </c>
      <c r="V3" s="14"/>
      <c r="W3" s="14"/>
      <c r="X3" s="14"/>
      <c r="Y3" s="14"/>
      <c r="Z3" s="6" t="s">
        <v>53</v>
      </c>
      <c r="AA3" s="14" t="s">
        <v>54</v>
      </c>
      <c r="AB3" s="14"/>
      <c r="AC3" s="14"/>
      <c r="AD3" s="14" t="s">
        <v>225</v>
      </c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S3" s="14" t="s">
        <v>55</v>
      </c>
      <c r="AT3" s="14"/>
      <c r="AU3" s="14"/>
      <c r="AV3" s="14"/>
      <c r="AW3" s="14" t="s">
        <v>56</v>
      </c>
      <c r="AX3" s="14"/>
      <c r="AY3" s="14"/>
      <c r="AZ3" s="14"/>
      <c r="BA3" s="14"/>
      <c r="BB3" s="14" t="s">
        <v>57</v>
      </c>
      <c r="BC3" s="14"/>
      <c r="BD3" s="14" t="s">
        <v>58</v>
      </c>
      <c r="BE3" s="14"/>
      <c r="BF3" s="14" t="s">
        <v>226</v>
      </c>
      <c r="BG3" s="15"/>
      <c r="BH3" s="15"/>
      <c r="BI3" s="15"/>
      <c r="BJ3" s="15"/>
      <c r="BK3" s="15"/>
      <c r="BL3" s="15"/>
      <c r="BM3" s="15"/>
      <c r="BN3" s="14" t="s">
        <v>59</v>
      </c>
      <c r="BO3" s="14"/>
      <c r="BP3" s="14"/>
    </row>
    <row r="4" spans="1:72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247</v>
      </c>
      <c r="F4" s="5" t="s">
        <v>2</v>
      </c>
      <c r="G4" s="5" t="s">
        <v>3</v>
      </c>
      <c r="H4" s="5" t="s">
        <v>248</v>
      </c>
      <c r="I4" s="5" t="s">
        <v>4</v>
      </c>
      <c r="J4" s="5" t="s">
        <v>5</v>
      </c>
      <c r="K4" s="5" t="s">
        <v>222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242</v>
      </c>
      <c r="AG4" s="5" t="s">
        <v>241</v>
      </c>
      <c r="AH4" s="5" t="s">
        <v>27</v>
      </c>
      <c r="AI4" s="5" t="s">
        <v>240</v>
      </c>
      <c r="AJ4" s="5" t="s">
        <v>239</v>
      </c>
      <c r="AK4" s="5" t="s">
        <v>238</v>
      </c>
      <c r="AL4" s="5" t="s">
        <v>237</v>
      </c>
      <c r="AM4" s="5" t="s">
        <v>236</v>
      </c>
      <c r="AN4" s="5" t="s">
        <v>235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244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227</v>
      </c>
      <c r="BG4" s="5" t="s">
        <v>234</v>
      </c>
      <c r="BH4" s="5" t="s">
        <v>233</v>
      </c>
      <c r="BI4" s="5" t="s">
        <v>232</v>
      </c>
      <c r="BJ4" s="5" t="s">
        <v>231</v>
      </c>
      <c r="BK4" s="5" t="s">
        <v>230</v>
      </c>
      <c r="BL4" s="5" t="s">
        <v>229</v>
      </c>
      <c r="BM4" s="5" t="s">
        <v>228</v>
      </c>
      <c r="BN4" s="5" t="s">
        <v>243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219</v>
      </c>
    </row>
    <row r="6" spans="1:72" x14ac:dyDescent="0.2">
      <c r="A6" s="4" t="str">
        <f>D6</f>
        <v>SPECTRUM-OV-001</v>
      </c>
      <c r="B6" s="4"/>
      <c r="C6" s="4"/>
      <c r="D6" s="2" t="s">
        <v>60</v>
      </c>
      <c r="F6" s="2">
        <v>0</v>
      </c>
      <c r="H6" s="16"/>
      <c r="J6" s="2" t="str">
        <f t="shared" ref="J6:J15" si="0">IF($A$1="", "Main", "")</f>
        <v>Main</v>
      </c>
      <c r="M6" s="2" t="s">
        <v>178</v>
      </c>
      <c r="N6" s="9"/>
      <c r="O6" s="9"/>
      <c r="T6" s="2" t="s">
        <v>193</v>
      </c>
      <c r="U6" s="9"/>
      <c r="V6" s="9"/>
      <c r="W6" s="9" t="str">
        <f>IF($T6="Single Cell Suspension", "15", "")</f>
        <v/>
      </c>
      <c r="X6" s="9"/>
      <c r="Y6" s="9" t="s">
        <v>198</v>
      </c>
      <c r="Z6" s="9"/>
      <c r="AA6" s="9"/>
      <c r="AB6" s="9"/>
      <c r="AC6" s="9"/>
      <c r="AD6" s="9"/>
      <c r="AE6" s="9"/>
      <c r="AF6" s="9"/>
      <c r="AG6" s="9" t="str">
        <f t="shared" ref="AG6:AG15" si="1">IF($A$1="", "IGO")</f>
        <v>IGO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 t="s">
        <v>246</v>
      </c>
      <c r="AW6" s="9"/>
      <c r="AX6" s="9"/>
      <c r="AY6" s="9"/>
      <c r="AZ6" s="9"/>
      <c r="BA6" s="9" t="s">
        <v>174</v>
      </c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</row>
    <row r="7" spans="1:72" x14ac:dyDescent="0.2">
      <c r="A7" s="4">
        <f t="shared" ref="A7:A15" si="2">D7</f>
        <v>0</v>
      </c>
      <c r="B7" s="4"/>
      <c r="C7" s="4"/>
      <c r="H7" s="16"/>
      <c r="J7" s="2" t="str">
        <f t="shared" si="0"/>
        <v>Main</v>
      </c>
      <c r="M7" s="2" t="s">
        <v>178</v>
      </c>
      <c r="N7" s="9"/>
      <c r="O7" s="9"/>
      <c r="U7" s="9"/>
      <c r="V7" s="9"/>
      <c r="W7" s="9" t="str">
        <f t="shared" ref="W7:W15" si="3">IF($T7="Single Cell Suspension", "15", "")</f>
        <v/>
      </c>
      <c r="X7" s="9"/>
      <c r="Y7" s="9"/>
      <c r="Z7" s="9" t="s">
        <v>200</v>
      </c>
      <c r="AA7" s="9"/>
      <c r="AB7" s="9"/>
      <c r="AC7" s="9"/>
      <c r="AD7" s="9"/>
      <c r="AE7" s="9"/>
      <c r="AF7" s="9"/>
      <c r="AG7" s="9" t="str">
        <f t="shared" si="1"/>
        <v>IGO</v>
      </c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</row>
    <row r="8" spans="1:72" x14ac:dyDescent="0.2">
      <c r="A8" s="4">
        <f t="shared" si="2"/>
        <v>0</v>
      </c>
      <c r="B8" s="4"/>
      <c r="C8" s="4"/>
      <c r="H8" s="16"/>
      <c r="J8" s="2" t="str">
        <f t="shared" si="0"/>
        <v>Main</v>
      </c>
      <c r="M8" s="2" t="s">
        <v>178</v>
      </c>
      <c r="N8" s="9"/>
      <c r="O8" s="9"/>
      <c r="U8" s="9"/>
      <c r="V8" s="9"/>
      <c r="W8" s="9" t="str">
        <f t="shared" si="3"/>
        <v/>
      </c>
      <c r="X8" s="9"/>
      <c r="Y8" s="9"/>
      <c r="Z8" s="9"/>
      <c r="AA8" s="9"/>
      <c r="AB8" s="9"/>
      <c r="AC8" s="9"/>
      <c r="AD8" s="9"/>
      <c r="AE8" s="9"/>
      <c r="AF8" s="9"/>
      <c r="AG8" s="9" t="str">
        <f t="shared" si="1"/>
        <v>IGO</v>
      </c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</row>
    <row r="9" spans="1:72" x14ac:dyDescent="0.2">
      <c r="A9" s="4">
        <f t="shared" si="2"/>
        <v>0</v>
      </c>
      <c r="B9" s="4"/>
      <c r="C9" s="4"/>
      <c r="H9" s="16"/>
      <c r="J9" s="2" t="str">
        <f t="shared" si="0"/>
        <v>Main</v>
      </c>
      <c r="M9" s="2" t="s">
        <v>178</v>
      </c>
      <c r="N9" s="9"/>
      <c r="O9" s="9"/>
      <c r="U9" s="9"/>
      <c r="V9" s="9"/>
      <c r="W9" s="9" t="str">
        <f t="shared" si="3"/>
        <v/>
      </c>
      <c r="X9" s="9"/>
      <c r="Y9" s="9"/>
      <c r="Z9" s="9"/>
      <c r="AA9" s="9"/>
      <c r="AB9" s="9"/>
      <c r="AC9" s="9"/>
      <c r="AD9" s="9"/>
      <c r="AE9" s="9"/>
      <c r="AF9" s="9"/>
      <c r="AG9" s="9" t="str">
        <f t="shared" si="1"/>
        <v>IGO</v>
      </c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</row>
    <row r="10" spans="1:72" x14ac:dyDescent="0.2">
      <c r="A10" s="4">
        <f t="shared" si="2"/>
        <v>0</v>
      </c>
      <c r="B10" s="4"/>
      <c r="C10" s="4"/>
      <c r="H10" s="16"/>
      <c r="J10" s="2" t="str">
        <f t="shared" si="0"/>
        <v>Main</v>
      </c>
      <c r="M10" s="2" t="s">
        <v>178</v>
      </c>
      <c r="N10" s="9"/>
      <c r="O10" s="9"/>
      <c r="U10" s="9"/>
      <c r="V10" s="9"/>
      <c r="W10" s="9" t="str">
        <f t="shared" si="3"/>
        <v/>
      </c>
      <c r="X10" s="9"/>
      <c r="Y10" s="9"/>
      <c r="Z10" s="9"/>
      <c r="AA10" s="9"/>
      <c r="AB10" s="9"/>
      <c r="AC10" s="9"/>
      <c r="AD10" s="9"/>
      <c r="AE10" s="9"/>
      <c r="AF10" s="9"/>
      <c r="AG10" s="9" t="str">
        <f t="shared" si="1"/>
        <v>IGO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</row>
    <row r="11" spans="1:72" x14ac:dyDescent="0.2">
      <c r="A11" s="4">
        <f t="shared" si="2"/>
        <v>0</v>
      </c>
      <c r="B11" s="4"/>
      <c r="C11" s="4"/>
      <c r="H11" s="16"/>
      <c r="J11" s="2" t="str">
        <f t="shared" si="0"/>
        <v>Main</v>
      </c>
      <c r="M11" s="2" t="s">
        <v>178</v>
      </c>
      <c r="N11" s="9"/>
      <c r="O11" s="9"/>
      <c r="U11" s="9"/>
      <c r="V11" s="9"/>
      <c r="W11" s="9" t="str">
        <f t="shared" si="3"/>
        <v/>
      </c>
      <c r="X11" s="9"/>
      <c r="Y11" s="9"/>
      <c r="Z11" s="9"/>
      <c r="AA11" s="9"/>
      <c r="AB11" s="9"/>
      <c r="AC11" s="9"/>
      <c r="AD11" s="9"/>
      <c r="AE11" s="9"/>
      <c r="AF11" s="9"/>
      <c r="AG11" s="9" t="str">
        <f t="shared" si="1"/>
        <v>IGO</v>
      </c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</row>
    <row r="12" spans="1:72" x14ac:dyDescent="0.2">
      <c r="A12" s="4">
        <f t="shared" si="2"/>
        <v>0</v>
      </c>
      <c r="B12" s="4"/>
      <c r="C12" s="4"/>
      <c r="H12" s="16"/>
      <c r="J12" s="2" t="str">
        <f t="shared" si="0"/>
        <v>Main</v>
      </c>
      <c r="M12" s="2" t="s">
        <v>178</v>
      </c>
      <c r="N12" s="9"/>
      <c r="O12" s="9"/>
      <c r="U12" s="9"/>
      <c r="V12" s="9"/>
      <c r="W12" s="9" t="str">
        <f t="shared" si="3"/>
        <v/>
      </c>
      <c r="X12" s="9"/>
      <c r="Y12" s="9"/>
      <c r="Z12" s="9"/>
      <c r="AA12" s="9"/>
      <c r="AB12" s="9"/>
      <c r="AC12" s="9"/>
      <c r="AD12" s="9"/>
      <c r="AE12" s="9"/>
      <c r="AF12" s="9"/>
      <c r="AG12" s="9" t="str">
        <f t="shared" si="1"/>
        <v>IGO</v>
      </c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</row>
    <row r="13" spans="1:72" x14ac:dyDescent="0.2">
      <c r="A13" s="4">
        <f t="shared" si="2"/>
        <v>0</v>
      </c>
      <c r="B13" s="4"/>
      <c r="C13" s="4"/>
      <c r="H13" s="16"/>
      <c r="J13" s="2" t="str">
        <f t="shared" si="0"/>
        <v>Main</v>
      </c>
      <c r="M13" s="2" t="str">
        <f t="shared" ref="M13:M15" si="4">IF($A$1="", "HGSC")</f>
        <v>HGSC</v>
      </c>
      <c r="N13" s="9"/>
      <c r="O13" s="9"/>
      <c r="U13" s="9"/>
      <c r="V13" s="9"/>
      <c r="W13" s="9" t="str">
        <f t="shared" si="3"/>
        <v/>
      </c>
      <c r="X13" s="9"/>
      <c r="Y13" s="9"/>
      <c r="Z13" s="9"/>
      <c r="AA13" s="9"/>
      <c r="AB13" s="9"/>
      <c r="AC13" s="9"/>
      <c r="AD13" s="9"/>
      <c r="AE13" s="9"/>
      <c r="AF13" s="9"/>
      <c r="AG13" s="9" t="str">
        <f t="shared" si="1"/>
        <v>IGO</v>
      </c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</row>
    <row r="14" spans="1:72" x14ac:dyDescent="0.2">
      <c r="A14" s="4">
        <f t="shared" si="2"/>
        <v>0</v>
      </c>
      <c r="B14" s="4"/>
      <c r="C14" s="4"/>
      <c r="H14" s="16"/>
      <c r="J14" s="2" t="str">
        <f t="shared" si="0"/>
        <v>Main</v>
      </c>
      <c r="M14" s="2" t="str">
        <f t="shared" si="4"/>
        <v>HGSC</v>
      </c>
      <c r="N14" s="9"/>
      <c r="O14" s="9"/>
      <c r="U14" s="9"/>
      <c r="V14" s="9"/>
      <c r="W14" s="9" t="str">
        <f t="shared" si="3"/>
        <v/>
      </c>
      <c r="X14" s="9"/>
      <c r="Y14" s="9"/>
      <c r="Z14" s="9"/>
      <c r="AA14" s="9"/>
      <c r="AB14" s="9"/>
      <c r="AC14" s="9"/>
      <c r="AD14" s="9"/>
      <c r="AE14" s="9"/>
      <c r="AF14" s="9"/>
      <c r="AG14" s="9" t="str">
        <f t="shared" si="1"/>
        <v>IGO</v>
      </c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</row>
    <row r="15" spans="1:72" x14ac:dyDescent="0.2">
      <c r="A15" s="4">
        <f t="shared" si="2"/>
        <v>0</v>
      </c>
      <c r="B15" s="4"/>
      <c r="C15" s="4"/>
      <c r="H15" s="16"/>
      <c r="J15" s="2" t="str">
        <f t="shared" si="0"/>
        <v>Main</v>
      </c>
      <c r="M15" s="2" t="str">
        <f t="shared" si="4"/>
        <v>HGSC</v>
      </c>
      <c r="N15" s="9"/>
      <c r="O15" s="9"/>
      <c r="U15" s="9"/>
      <c r="V15" s="9"/>
      <c r="W15" s="9" t="str">
        <f t="shared" si="3"/>
        <v/>
      </c>
      <c r="X15" s="9"/>
      <c r="Y15" s="9"/>
      <c r="Z15" s="9"/>
      <c r="AA15" s="9"/>
      <c r="AB15" s="9"/>
      <c r="AC15" s="9"/>
      <c r="AD15" s="9"/>
      <c r="AE15" s="9"/>
      <c r="AF15" s="9"/>
      <c r="AG15" s="9" t="str">
        <f t="shared" si="1"/>
        <v>IGO</v>
      </c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</row>
    <row r="16" spans="1:72" x14ac:dyDescent="0.2"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</row>
    <row r="17" spans="2:72" x14ac:dyDescent="0.2"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</row>
    <row r="18" spans="2:72" x14ac:dyDescent="0.2"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2:72" x14ac:dyDescent="0.2"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</row>
    <row r="20" spans="2:72" x14ac:dyDescent="0.2"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</row>
    <row r="21" spans="2:72" x14ac:dyDescent="0.2"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</row>
    <row r="22" spans="2:72" x14ac:dyDescent="0.2"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2:72" x14ac:dyDescent="0.2"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2:72" x14ac:dyDescent="0.2"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2:72" x14ac:dyDescent="0.2"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2:72" x14ac:dyDescent="0.2"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2:72" x14ac:dyDescent="0.2"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2:72" x14ac:dyDescent="0.2"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2:72" x14ac:dyDescent="0.2"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2:72" x14ac:dyDescent="0.2"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2:72" x14ac:dyDescent="0.2"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2:72" x14ac:dyDescent="0.2"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2:72" x14ac:dyDescent="0.2"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2:72" x14ac:dyDescent="0.2"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2:72" x14ac:dyDescent="0.2">
      <c r="B35" s="10"/>
      <c r="C35" s="10"/>
      <c r="D35" s="10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2:72" x14ac:dyDescent="0.2">
      <c r="B36" s="10"/>
      <c r="C36" s="10"/>
      <c r="D36" s="10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2:72" x14ac:dyDescent="0.2">
      <c r="B37" s="10"/>
      <c r="C37" s="10"/>
      <c r="D37" s="10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2:72" x14ac:dyDescent="0.2">
      <c r="B38" s="10"/>
      <c r="C38" s="10"/>
      <c r="D38" s="10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2:72" x14ac:dyDescent="0.2">
      <c r="B39" s="10"/>
      <c r="C39" s="10"/>
      <c r="D39" s="10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</row>
    <row r="40" spans="2:72" x14ac:dyDescent="0.2">
      <c r="B40" s="10"/>
      <c r="C40" s="10"/>
      <c r="D40" s="10"/>
      <c r="E40" s="10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</row>
    <row r="41" spans="2:72" x14ac:dyDescent="0.2">
      <c r="B41" s="10"/>
      <c r="C41" s="10"/>
      <c r="D41" s="10"/>
      <c r="E41" s="10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</row>
    <row r="42" spans="2:72" x14ac:dyDescent="0.2">
      <c r="B42" s="10"/>
      <c r="C42" s="10"/>
      <c r="D42" s="10"/>
      <c r="E42" s="10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</row>
    <row r="43" spans="2:72" x14ac:dyDescent="0.2">
      <c r="B43" s="10"/>
      <c r="C43" s="10"/>
      <c r="D43" s="10"/>
      <c r="E43" s="10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</row>
    <row r="44" spans="2:72" x14ac:dyDescent="0.2">
      <c r="B44" s="10"/>
      <c r="C44" s="10"/>
      <c r="D44" s="10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</row>
    <row r="45" spans="2:72" x14ac:dyDescent="0.2">
      <c r="B45" s="10"/>
      <c r="C45" s="10"/>
      <c r="D45" s="10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</row>
    <row r="46" spans="2:72" x14ac:dyDescent="0.2">
      <c r="B46" s="10"/>
      <c r="C46" s="10"/>
      <c r="D46" s="10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</row>
    <row r="47" spans="2:72" x14ac:dyDescent="0.2">
      <c r="B47" s="10"/>
      <c r="C47" s="10"/>
      <c r="D47" s="10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</row>
    <row r="48" spans="2:72" x14ac:dyDescent="0.2">
      <c r="B48" s="10"/>
      <c r="C48" s="10"/>
      <c r="D48" s="10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</row>
    <row r="49" spans="2:72" x14ac:dyDescent="0.2">
      <c r="B49" s="10"/>
      <c r="C49" s="10"/>
      <c r="D49" s="10"/>
      <c r="E49" s="10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</row>
    <row r="50" spans="2:72" x14ac:dyDescent="0.2">
      <c r="B50" s="10"/>
      <c r="C50" s="10"/>
      <c r="D50" s="10"/>
      <c r="E50" s="10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</row>
    <row r="51" spans="2:72" x14ac:dyDescent="0.2">
      <c r="B51" s="10"/>
      <c r="C51" s="10"/>
      <c r="D51" s="10"/>
      <c r="E51" s="10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</row>
    <row r="52" spans="2:72" x14ac:dyDescent="0.2">
      <c r="B52" s="10"/>
      <c r="C52" s="10"/>
      <c r="D52" s="10"/>
      <c r="E52" s="10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</row>
    <row r="53" spans="2:72" x14ac:dyDescent="0.2">
      <c r="B53" s="10"/>
      <c r="C53" s="10"/>
      <c r="D53" s="10"/>
      <c r="E53" s="10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</row>
    <row r="54" spans="2:72" x14ac:dyDescent="0.2">
      <c r="B54" s="10"/>
      <c r="C54" s="10"/>
      <c r="D54" s="10"/>
      <c r="E54" s="10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</row>
    <row r="55" spans="2:72" x14ac:dyDescent="0.2">
      <c r="B55" s="10"/>
      <c r="C55" s="10"/>
      <c r="D55" s="10"/>
      <c r="E55" s="10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</row>
    <row r="56" spans="2:72" x14ac:dyDescent="0.2">
      <c r="B56" s="10"/>
      <c r="C56" s="10"/>
      <c r="D56" s="10"/>
      <c r="E56" s="10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</row>
    <row r="57" spans="2:72" x14ac:dyDescent="0.2">
      <c r="B57" s="10"/>
      <c r="C57" s="10"/>
      <c r="D57" s="10"/>
      <c r="E57" s="10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</row>
    <row r="58" spans="2:72" x14ac:dyDescent="0.2">
      <c r="B58" s="10"/>
      <c r="C58" s="10"/>
      <c r="D58" s="10"/>
      <c r="E58" s="10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</row>
    <row r="59" spans="2:72" x14ac:dyDescent="0.2">
      <c r="B59" s="10"/>
      <c r="C59" s="10"/>
      <c r="D59" s="10"/>
      <c r="E59" s="10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</row>
    <row r="60" spans="2:72" x14ac:dyDescent="0.2">
      <c r="B60" s="10"/>
      <c r="C60" s="10"/>
      <c r="D60" s="10"/>
      <c r="E60" s="10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</row>
    <row r="61" spans="2:72" x14ac:dyDescent="0.2">
      <c r="B61" s="10"/>
      <c r="C61" s="10"/>
      <c r="D61" s="10"/>
      <c r="E61" s="10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</row>
    <row r="62" spans="2:72" x14ac:dyDescent="0.2">
      <c r="B62" s="10"/>
      <c r="C62" s="10"/>
      <c r="D62" s="10"/>
      <c r="E62" s="10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</row>
    <row r="63" spans="2:72" x14ac:dyDescent="0.2">
      <c r="B63" s="10"/>
      <c r="C63" s="10"/>
      <c r="D63" s="10"/>
      <c r="E63" s="10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</row>
    <row r="64" spans="2:72" x14ac:dyDescent="0.2">
      <c r="B64" s="10"/>
      <c r="C64" s="10"/>
      <c r="D64" s="10"/>
      <c r="E64" s="10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</row>
    <row r="65" spans="2:72" x14ac:dyDescent="0.2">
      <c r="B65" s="10"/>
      <c r="C65" s="10"/>
      <c r="D65" s="10"/>
      <c r="E65" s="10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</row>
    <row r="66" spans="2:72" x14ac:dyDescent="0.2">
      <c r="B66" s="10"/>
      <c r="C66" s="10"/>
      <c r="D66" s="10"/>
      <c r="E66" s="10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</row>
    <row r="67" spans="2:72" x14ac:dyDescent="0.2">
      <c r="B67" s="10"/>
      <c r="C67" s="10"/>
      <c r="D67" s="10"/>
      <c r="E67" s="10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</row>
    <row r="68" spans="2:72" x14ac:dyDescent="0.2">
      <c r="B68" s="10"/>
      <c r="C68" s="10"/>
      <c r="D68" s="10"/>
      <c r="E68" s="10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</row>
    <row r="69" spans="2:72" x14ac:dyDescent="0.2">
      <c r="B69" s="10"/>
      <c r="C69" s="10"/>
      <c r="D69" s="10"/>
      <c r="E69" s="10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</row>
    <row r="70" spans="2:72" x14ac:dyDescent="0.2">
      <c r="B70" s="10"/>
      <c r="C70" s="10"/>
      <c r="D70" s="10"/>
      <c r="E70" s="10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</row>
    <row r="71" spans="2:72" x14ac:dyDescent="0.2">
      <c r="B71" s="10"/>
      <c r="C71" s="10"/>
      <c r="D71" s="10"/>
      <c r="E71" s="10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</row>
    <row r="72" spans="2:72" x14ac:dyDescent="0.2">
      <c r="B72" s="10"/>
      <c r="C72" s="10"/>
      <c r="D72" s="10"/>
      <c r="E72" s="10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</row>
    <row r="73" spans="2:72" x14ac:dyDescent="0.2">
      <c r="B73" s="10"/>
      <c r="C73" s="10"/>
      <c r="D73" s="10"/>
      <c r="E73" s="10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</row>
    <row r="74" spans="2:72" x14ac:dyDescent="0.2">
      <c r="B74" s="10"/>
      <c r="C74" s="10"/>
      <c r="D74" s="10"/>
      <c r="E74" s="10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</row>
    <row r="75" spans="2:72" x14ac:dyDescent="0.2">
      <c r="B75" s="10"/>
      <c r="C75" s="10"/>
      <c r="D75" s="10"/>
      <c r="E75" s="10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</row>
    <row r="76" spans="2:72" x14ac:dyDescent="0.2">
      <c r="B76" s="10"/>
      <c r="C76" s="10"/>
      <c r="D76" s="10"/>
      <c r="E76" s="10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</row>
    <row r="77" spans="2:72" x14ac:dyDescent="0.2">
      <c r="B77" s="10"/>
      <c r="C77" s="10"/>
      <c r="D77" s="10"/>
      <c r="E77" s="10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</row>
    <row r="78" spans="2:72" x14ac:dyDescent="0.2">
      <c r="B78" s="10"/>
      <c r="C78" s="10"/>
      <c r="D78" s="10"/>
      <c r="E78" s="10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</row>
    <row r="79" spans="2:72" x14ac:dyDescent="0.2">
      <c r="B79" s="10"/>
      <c r="C79" s="10"/>
      <c r="D79" s="10"/>
      <c r="E79" s="10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</row>
    <row r="80" spans="2:72" x14ac:dyDescent="0.2">
      <c r="B80" s="10"/>
      <c r="C80" s="10"/>
      <c r="D80" s="10"/>
      <c r="E80" s="10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</row>
    <row r="81" spans="2:72" x14ac:dyDescent="0.2">
      <c r="B81" s="10"/>
      <c r="C81" s="10"/>
      <c r="D81" s="10"/>
      <c r="E81" s="10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</row>
    <row r="82" spans="2:72" x14ac:dyDescent="0.2">
      <c r="B82" s="10"/>
      <c r="C82" s="10"/>
      <c r="D82" s="10"/>
      <c r="E82" s="10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</row>
    <row r="83" spans="2:72" x14ac:dyDescent="0.2">
      <c r="B83" s="10"/>
      <c r="C83" s="10"/>
      <c r="D83" s="10"/>
      <c r="E83" s="10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</row>
    <row r="84" spans="2:72" x14ac:dyDescent="0.2">
      <c r="B84" s="10"/>
      <c r="C84" s="10"/>
      <c r="D84" s="10"/>
      <c r="E84" s="10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</row>
    <row r="85" spans="2:72" x14ac:dyDescent="0.2">
      <c r="B85" s="10"/>
      <c r="C85" s="10"/>
      <c r="D85" s="10"/>
      <c r="E85" s="10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</row>
    <row r="86" spans="2:72" x14ac:dyDescent="0.2">
      <c r="B86" s="10"/>
      <c r="C86" s="10"/>
      <c r="D86" s="10"/>
      <c r="E86" s="10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</row>
    <row r="87" spans="2:72" x14ac:dyDescent="0.2">
      <c r="B87" s="10"/>
      <c r="C87" s="10"/>
      <c r="D87" s="10"/>
      <c r="E87" s="10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</row>
    <row r="88" spans="2:72" x14ac:dyDescent="0.2">
      <c r="B88" s="10"/>
      <c r="C88" s="10"/>
      <c r="D88" s="10"/>
      <c r="E88" s="10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</row>
    <row r="89" spans="2:72" x14ac:dyDescent="0.2">
      <c r="B89" s="10"/>
      <c r="C89" s="10"/>
      <c r="D89" s="10"/>
      <c r="E89" s="10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</row>
    <row r="90" spans="2:72" x14ac:dyDescent="0.2">
      <c r="B90" s="10"/>
      <c r="C90" s="10"/>
      <c r="D90" s="10"/>
      <c r="E90" s="10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</row>
    <row r="91" spans="2:72" x14ac:dyDescent="0.2">
      <c r="B91" s="10"/>
      <c r="C91" s="10"/>
      <c r="D91" s="10"/>
      <c r="E91" s="10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</row>
    <row r="92" spans="2:72" x14ac:dyDescent="0.2">
      <c r="B92" s="10"/>
      <c r="C92" s="10"/>
      <c r="D92" s="10"/>
      <c r="E92" s="10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</row>
    <row r="93" spans="2:72" x14ac:dyDescent="0.2">
      <c r="B93" s="10"/>
      <c r="C93" s="10"/>
      <c r="D93" s="10"/>
      <c r="E93" s="10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</row>
    <row r="94" spans="2:72" x14ac:dyDescent="0.2">
      <c r="B94" s="10"/>
      <c r="C94" s="10"/>
      <c r="D94" s="10"/>
      <c r="E94" s="10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</row>
    <row r="95" spans="2:72" x14ac:dyDescent="0.2">
      <c r="B95" s="10"/>
      <c r="C95" s="10"/>
      <c r="D95" s="10"/>
      <c r="E95" s="10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</row>
    <row r="96" spans="2:72" x14ac:dyDescent="0.2">
      <c r="B96" s="10"/>
      <c r="C96" s="10"/>
      <c r="D96" s="10"/>
      <c r="E96" s="10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</row>
    <row r="97" spans="2:72" x14ac:dyDescent="0.2">
      <c r="B97" s="10"/>
      <c r="C97" s="10"/>
      <c r="D97" s="10"/>
      <c r="E97" s="10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</row>
    <row r="98" spans="2:72" x14ac:dyDescent="0.2">
      <c r="B98" s="10"/>
      <c r="C98" s="10"/>
      <c r="D98" s="10"/>
      <c r="E98" s="10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</row>
    <row r="99" spans="2:72" x14ac:dyDescent="0.2">
      <c r="B99" s="10"/>
      <c r="C99" s="10"/>
      <c r="D99" s="10"/>
      <c r="E99" s="10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</row>
    <row r="100" spans="2:72" x14ac:dyDescent="0.2">
      <c r="B100" s="10"/>
      <c r="C100" s="10"/>
      <c r="D100" s="10"/>
      <c r="E100" s="10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</row>
    <row r="101" spans="2:72" x14ac:dyDescent="0.2">
      <c r="B101" s="10"/>
      <c r="C101" s="10"/>
      <c r="D101" s="10"/>
      <c r="E101" s="10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</row>
    <row r="102" spans="2:72" x14ac:dyDescent="0.2">
      <c r="B102" s="10"/>
      <c r="C102" s="10"/>
      <c r="D102" s="10"/>
      <c r="E102" s="10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</row>
    <row r="103" spans="2:72" x14ac:dyDescent="0.2">
      <c r="B103" s="10"/>
      <c r="C103" s="10"/>
      <c r="D103" s="10"/>
      <c r="E103" s="10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</row>
    <row r="104" spans="2:72" x14ac:dyDescent="0.2">
      <c r="B104" s="10"/>
      <c r="C104" s="10"/>
      <c r="D104" s="10"/>
      <c r="E104" s="10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</row>
    <row r="105" spans="2:72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</row>
    <row r="106" spans="2:72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</row>
    <row r="107" spans="2:72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</row>
    <row r="108" spans="2:72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</row>
    <row r="109" spans="2:72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</row>
    <row r="110" spans="2:72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</row>
    <row r="111" spans="2:72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</row>
    <row r="112" spans="2:72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</row>
    <row r="113" spans="2:72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</row>
    <row r="114" spans="2:72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</row>
    <row r="115" spans="2:72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</row>
    <row r="116" spans="2:72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</row>
    <row r="117" spans="2:72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</row>
    <row r="118" spans="2:72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</row>
    <row r="119" spans="2:72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</row>
    <row r="120" spans="2:72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</row>
    <row r="121" spans="2:72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</row>
    <row r="122" spans="2:72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</row>
    <row r="123" spans="2:72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</row>
    <row r="124" spans="2:72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</row>
    <row r="125" spans="2:72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</row>
    <row r="126" spans="2:72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</row>
    <row r="127" spans="2:72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</row>
    <row r="128" spans="2:72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</row>
    <row r="129" spans="2:72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</row>
    <row r="130" spans="2:72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</row>
    <row r="131" spans="2:72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</row>
    <row r="132" spans="2:72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</row>
    <row r="133" spans="2:72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</row>
    <row r="134" spans="2:72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</row>
    <row r="135" spans="2:72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</row>
    <row r="136" spans="2:72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</row>
    <row r="137" spans="2:72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</row>
    <row r="138" spans="2:72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</row>
    <row r="139" spans="2:72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</row>
  </sheetData>
  <dataConsolidate/>
  <mergeCells count="13">
    <mergeCell ref="BN3:BP3"/>
    <mergeCell ref="AA3:AC3"/>
    <mergeCell ref="AD3:AQ3"/>
    <mergeCell ref="AS3:AV3"/>
    <mergeCell ref="AW3:BA3"/>
    <mergeCell ref="BB3:BC3"/>
    <mergeCell ref="BD3:BE3"/>
    <mergeCell ref="BF3:BM3"/>
    <mergeCell ref="U3:Y3"/>
    <mergeCell ref="A3:D3"/>
    <mergeCell ref="F3:K3"/>
    <mergeCell ref="M3:N3"/>
    <mergeCell ref="P3:T3"/>
  </mergeCells>
  <dataValidations count="2">
    <dataValidation allowBlank="1" showInputMessage="1" sqref="AG1:AG4 AG154:AG1048576" xr:uid="{00000000-0002-0000-0000-000000000000}"/>
    <dataValidation showInputMessage="1" showErrorMessage="1" sqref="E6:E15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AG6:AG15</xm:sqref>
        </x14:dataValidation>
        <x14:dataValidation type="list" allowBlank="1" showInputMessage="1" showErrorMessage="1" xr:uid="{00000000-0002-0000-0000-000025000000}">
          <x14:formula1>
            <xm:f>Validations!$W$3:$W$5</xm:f>
          </x14:formula1>
          <xm:sqref>AV6:AV15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</xm:sqref>
        </x14:dataValidation>
        <x14:dataValidation type="list" allowBlank="1" showInputMessage="1" showErrorMessage="1" xr:uid="{00000000-0002-0000-0000-000029000000}">
          <x14:formula1>
            <xm:f>Validations!$L$3:$L$8</xm:f>
          </x14:formula1>
          <xm:sqref>Y6:Y15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3"/>
  <sheetViews>
    <sheetView topLeftCell="B3" workbookViewId="0">
      <selection activeCell="W5" sqref="W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244</v>
      </c>
    </row>
    <row r="3" spans="1:23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  <c r="W3" s="1" t="s">
        <v>245</v>
      </c>
    </row>
    <row r="4" spans="1:23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  <c r="W4" s="1" t="s">
        <v>197</v>
      </c>
    </row>
    <row r="5" spans="1:23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  <c r="W5" s="1" t="s">
        <v>246</v>
      </c>
    </row>
    <row r="6" spans="1:23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3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3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3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3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3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2019-10-25T22:38:18Z</dcterms:modified>
</cp:coreProperties>
</file>