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BD95C61-FAB4-D14F-8972-037DAC2E509C}" xr6:coauthVersionLast="45" xr6:coauthVersionMax="45" xr10:uidLastSave="{00000000-0000-0000-0000-000000000000}"/>
  <bookViews>
    <workbookView xWindow="0" yWindow="460" windowWidth="3036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8" i="1" l="1"/>
  <c r="AG8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I26" i="1" s="1"/>
  <c r="AF27" i="1"/>
  <c r="AG27" i="1" s="1"/>
  <c r="AF28" i="1"/>
  <c r="AG28" i="1" s="1"/>
  <c r="AF29" i="1"/>
  <c r="AG29" i="1" s="1"/>
  <c r="AF30" i="1"/>
  <c r="AI30" i="1" s="1"/>
  <c r="AF31" i="1"/>
  <c r="AG31" i="1" s="1"/>
  <c r="AF32" i="1"/>
  <c r="AG32" i="1" s="1"/>
  <c r="AF33" i="1"/>
  <c r="AG33" i="1" s="1"/>
  <c r="AF34" i="1"/>
  <c r="AG34" i="1" s="1"/>
  <c r="AF35" i="1"/>
  <c r="AG35" i="1" s="1"/>
  <c r="AF36" i="1"/>
  <c r="AG36" i="1" s="1"/>
  <c r="AF37" i="1"/>
  <c r="AG37" i="1" s="1"/>
  <c r="AF38" i="1"/>
  <c r="AI38" i="1" s="1"/>
  <c r="AF39" i="1"/>
  <c r="AG39" i="1" s="1"/>
  <c r="AF40" i="1"/>
  <c r="AG40" i="1" s="1"/>
  <c r="AF41" i="1"/>
  <c r="AG41" i="1" s="1"/>
  <c r="AF42" i="1"/>
  <c r="AG42" i="1" s="1"/>
  <c r="AF43" i="1"/>
  <c r="AG43" i="1" s="1"/>
  <c r="AF44" i="1"/>
  <c r="AG44" i="1" s="1"/>
  <c r="AF45" i="1"/>
  <c r="AG45" i="1" s="1"/>
  <c r="AF46" i="1"/>
  <c r="AI46" i="1" s="1"/>
  <c r="AF47" i="1"/>
  <c r="AG47" i="1" s="1"/>
  <c r="AF48" i="1"/>
  <c r="AG48" i="1" s="1"/>
  <c r="AF49" i="1"/>
  <c r="AG49" i="1" s="1"/>
  <c r="AF50" i="1"/>
  <c r="AG50" i="1" s="1"/>
  <c r="AF51" i="1"/>
  <c r="AG51" i="1" s="1"/>
  <c r="AF52" i="1"/>
  <c r="AG52" i="1" s="1"/>
  <c r="AF53" i="1"/>
  <c r="AG53" i="1" s="1"/>
  <c r="AF54" i="1"/>
  <c r="AG54" i="1" s="1"/>
  <c r="AF55" i="1"/>
  <c r="AG55" i="1" s="1"/>
  <c r="AF56" i="1"/>
  <c r="AG56" i="1" s="1"/>
  <c r="AF57" i="1"/>
  <c r="AG57" i="1" s="1"/>
  <c r="AF58" i="1"/>
  <c r="AG58" i="1" s="1"/>
  <c r="AF59" i="1"/>
  <c r="AG59" i="1" s="1"/>
  <c r="AF60" i="1"/>
  <c r="AG60" i="1" s="1"/>
  <c r="AF61" i="1"/>
  <c r="AG61" i="1" s="1"/>
  <c r="AF62" i="1"/>
  <c r="AI62" i="1" s="1"/>
  <c r="AF63" i="1"/>
  <c r="AG63" i="1" s="1"/>
  <c r="AF64" i="1"/>
  <c r="AG64" i="1" s="1"/>
  <c r="AF65" i="1"/>
  <c r="AG65" i="1" s="1"/>
  <c r="AF66" i="1"/>
  <c r="AG66" i="1" s="1"/>
  <c r="AF67" i="1"/>
  <c r="AG67" i="1" s="1"/>
  <c r="AF68" i="1"/>
  <c r="AG68" i="1" s="1"/>
  <c r="AF69" i="1"/>
  <c r="AG69" i="1" s="1"/>
  <c r="AF70" i="1"/>
  <c r="AG70" i="1" s="1"/>
  <c r="AF71" i="1"/>
  <c r="AG71" i="1" s="1"/>
  <c r="AF72" i="1"/>
  <c r="AG72" i="1" s="1"/>
  <c r="AF73" i="1"/>
  <c r="AG73" i="1" s="1"/>
  <c r="AF74" i="1"/>
  <c r="AG74" i="1" s="1"/>
  <c r="AF75" i="1"/>
  <c r="AG75" i="1" s="1"/>
  <c r="AF76" i="1"/>
  <c r="AG76" i="1" s="1"/>
  <c r="AF77" i="1"/>
  <c r="AG77" i="1" s="1"/>
  <c r="AF78" i="1"/>
  <c r="AI78" i="1" s="1"/>
  <c r="AF79" i="1"/>
  <c r="AG79" i="1" s="1"/>
  <c r="AF80" i="1"/>
  <c r="AG80" i="1" s="1"/>
  <c r="AF81" i="1"/>
  <c r="AG81" i="1" s="1"/>
  <c r="AF82" i="1"/>
  <c r="AI82" i="1" s="1"/>
  <c r="AF83" i="1"/>
  <c r="AG83" i="1" s="1"/>
  <c r="AF84" i="1"/>
  <c r="AG84" i="1" s="1"/>
  <c r="AF85" i="1"/>
  <c r="AG85" i="1" s="1"/>
  <c r="AF86" i="1"/>
  <c r="AG86" i="1" s="1"/>
  <c r="AF87" i="1"/>
  <c r="AG87" i="1" s="1"/>
  <c r="AF88" i="1"/>
  <c r="AG88" i="1" s="1"/>
  <c r="AF89" i="1"/>
  <c r="AG89" i="1" s="1"/>
  <c r="AF90" i="1"/>
  <c r="AG90" i="1" s="1"/>
  <c r="AF91" i="1"/>
  <c r="AG91" i="1" s="1"/>
  <c r="AF92" i="1"/>
  <c r="AG92" i="1" s="1"/>
  <c r="AF93" i="1"/>
  <c r="AG93" i="1" s="1"/>
  <c r="AF94" i="1"/>
  <c r="AI94" i="1" s="1"/>
  <c r="AG94" i="1"/>
  <c r="AF95" i="1"/>
  <c r="AG95" i="1" s="1"/>
  <c r="AF96" i="1"/>
  <c r="AG96" i="1" s="1"/>
  <c r="AF97" i="1"/>
  <c r="AG97" i="1" s="1"/>
  <c r="AF98" i="1"/>
  <c r="AI98" i="1" s="1"/>
  <c r="AF99" i="1"/>
  <c r="AG99" i="1" s="1"/>
  <c r="AF100" i="1"/>
  <c r="AG100" i="1" s="1"/>
  <c r="AF6" i="1"/>
  <c r="AI6" i="1" s="1"/>
  <c r="AF7" i="1"/>
  <c r="AF9" i="1"/>
  <c r="AI90" i="1" l="1"/>
  <c r="AI70" i="1"/>
  <c r="AG82" i="1"/>
  <c r="AI89" i="1"/>
  <c r="AI85" i="1"/>
  <c r="AI51" i="1"/>
  <c r="AI83" i="1"/>
  <c r="AI75" i="1"/>
  <c r="AI67" i="1"/>
  <c r="AI59" i="1"/>
  <c r="AI47" i="1"/>
  <c r="AG38" i="1"/>
  <c r="AI93" i="1"/>
  <c r="AI87" i="1"/>
  <c r="AI74" i="1"/>
  <c r="AI66" i="1"/>
  <c r="AI58" i="1"/>
  <c r="AI43" i="1"/>
  <c r="AI91" i="1"/>
  <c r="AI86" i="1"/>
  <c r="AI79" i="1"/>
  <c r="AI71" i="1"/>
  <c r="AI63" i="1"/>
  <c r="AI55" i="1"/>
  <c r="AI39" i="1"/>
  <c r="AI9" i="1"/>
  <c r="AI99" i="1"/>
  <c r="AI95" i="1"/>
  <c r="AI35" i="1"/>
  <c r="AI27" i="1"/>
  <c r="AI11" i="1"/>
  <c r="AI31" i="1"/>
  <c r="AI23" i="1"/>
  <c r="AI19" i="1"/>
  <c r="AI15" i="1"/>
  <c r="AI54" i="1"/>
  <c r="AI50" i="1"/>
  <c r="AI42" i="1"/>
  <c r="AI34" i="1"/>
  <c r="AI22" i="1"/>
  <c r="AI18" i="1"/>
  <c r="AI14" i="1"/>
  <c r="AI10" i="1"/>
  <c r="AI97" i="1"/>
  <c r="AI81" i="1"/>
  <c r="AI77" i="1"/>
  <c r="AI73" i="1"/>
  <c r="AI69" i="1"/>
  <c r="AI65" i="1"/>
  <c r="AI61" i="1"/>
  <c r="AI57" i="1"/>
  <c r="AI53" i="1"/>
  <c r="AI49" i="1"/>
  <c r="AI45" i="1"/>
  <c r="AI41" i="1"/>
  <c r="AI37" i="1"/>
  <c r="AI33" i="1"/>
  <c r="AI29" i="1"/>
  <c r="AI25" i="1"/>
  <c r="AI21" i="1"/>
  <c r="AI17" i="1"/>
  <c r="AI13" i="1"/>
  <c r="AI100" i="1"/>
  <c r="AI96" i="1"/>
  <c r="AI92" i="1"/>
  <c r="AI88" i="1"/>
  <c r="AI84" i="1"/>
  <c r="AI80" i="1"/>
  <c r="AI76" i="1"/>
  <c r="AI72" i="1"/>
  <c r="AI68" i="1"/>
  <c r="AI64" i="1"/>
  <c r="AI60" i="1"/>
  <c r="AI56" i="1"/>
  <c r="AI52" i="1"/>
  <c r="AI48" i="1"/>
  <c r="AI44" i="1"/>
  <c r="AI40" i="1"/>
  <c r="AI36" i="1"/>
  <c r="AI32" i="1"/>
  <c r="AI28" i="1"/>
  <c r="AI24" i="1"/>
  <c r="AI20" i="1"/>
  <c r="AI16" i="1"/>
  <c r="AI12" i="1"/>
  <c r="AI8" i="1"/>
  <c r="AG78" i="1"/>
  <c r="AG26" i="1"/>
  <c r="AG46" i="1"/>
  <c r="AI7" i="1"/>
  <c r="AG98" i="1"/>
  <c r="AG62" i="1"/>
  <c r="AG30" i="1"/>
  <c r="AG9" i="1"/>
  <c r="AG7" i="1"/>
  <c r="AG6" i="1"/>
  <c r="J6" i="1"/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M5" i="1"/>
  <c r="W5" i="1"/>
  <c r="L5" i="1"/>
  <c r="J5" i="1"/>
  <c r="S4" i="2"/>
  <c r="A5" i="1"/>
  <c r="P7" i="1"/>
  <c r="P6" i="1"/>
  <c r="A6" i="1"/>
  <c r="AG59" i="3" l="1"/>
  <c r="AG69" i="3"/>
  <c r="AG43" i="3"/>
  <c r="AG49" i="3"/>
  <c r="AG77" i="3"/>
  <c r="AG33" i="3"/>
  <c r="AG67" i="3"/>
  <c r="AG11" i="3"/>
  <c r="AG83" i="3"/>
  <c r="AG13" i="3"/>
  <c r="AG51" i="3"/>
  <c r="AG27" i="3"/>
  <c r="AG41" i="3"/>
  <c r="AG57" i="3"/>
  <c r="AG73" i="3"/>
  <c r="AG81" i="3"/>
  <c r="AG91" i="3"/>
  <c r="AG34" i="3"/>
  <c r="AG89" i="3"/>
  <c r="AG65" i="3"/>
  <c r="AG75" i="3"/>
  <c r="AG85" i="3"/>
  <c r="AG7" i="3"/>
  <c r="AG15" i="3"/>
  <c r="AG19" i="3"/>
  <c r="AG37" i="3"/>
  <c r="AG45" i="3"/>
  <c r="AG53" i="3"/>
  <c r="AG61" i="3"/>
  <c r="AG9" i="3"/>
  <c r="AG17" i="3"/>
  <c r="AG23" i="3"/>
  <c r="AG38" i="3"/>
  <c r="AG47" i="3"/>
  <c r="AG55" i="3"/>
  <c r="AG63" i="3"/>
  <c r="AG71" i="3"/>
  <c r="AG79" i="3"/>
  <c r="AG87" i="3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<sst xmlns="http://schemas.openxmlformats.org/spreadsheetml/2006/main" count="436" uniqueCount="292">
  <si>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</si>
  <si>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</si>
  <si>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</si>
  <si>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</si>
  <si>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</si>
  <si>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</si>
  <si>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</si>
  <si>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</si>
  <si>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</si>
  <si>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</si>
  <si>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</si>
  <si>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</si>
  <si>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</si>
  <si>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</si>
  <si>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</si>
  <si>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</si>
  <si>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</si>
  <si>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</si>
  <si>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</si>
  <si>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</si>
  <si>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</si>
  <si>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</si>
  <si>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</si>
  <si>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</si>
  <si>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</si>
  <si>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</si>
  <si>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</si>
  <si>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</si>
  <si>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</si>
  <si>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</si>
  <si>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</si>
  <si>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</si>
  <si>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</si>
  <si>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</si>
  <si>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</si>
  <si>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</si>
  <si>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</si>
  <si>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</si>
  <si>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</si>
  <si>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</si>
  <si>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</si>
  <si>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</si>
  <si>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</si>
  <si>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</si>
  <si>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</si>
  <si>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</si>
  <si>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</si>
  <si>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</si>
  <si>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</si>
  <si>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</si>
  <si>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</si>
  <si>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</si>
  <si>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</si>
  <si>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</si>
  <si>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</si>
  <si>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</si>
  <si>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</si>
  <si>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</si>
  <si>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</si>
  <si>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</si>
  <si>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</si>
  <si>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</si>
  <si>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</si>
  <si>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</si>
  <si>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</si>
  <si>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</si>
  <si>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</si>
  <si>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</si>
  <si>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</si>
  <si>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</si>
  <si>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</si>
  <si>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</si>
  <si>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</si>
  <si>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</si>
  <si>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</si>
  <si>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</si>
  <si>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</si>
  <si>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</si>
  <si>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</si>
  <si>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</si>
  <si>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</si>
  <si>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</si>
  <si>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</si>
  <si>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</si>
  <si>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</si>
  <si>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</si>
  <si>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</si>
  <si>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</si>
  <si>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</si>
  <si>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</si>
  <si>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</si>
  <si>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</si>
  <si>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</si>
  <si>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</si>
  <si>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</si>
  <si>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</si>
  <si>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</si>
  <si>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</si>
  <si>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</si>
  <si>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</si>
  <si>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</si>
  <si>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</si>
  <si>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</si>
  <si>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</si>
  <si>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</si>
  <si>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</si>
  <si>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</si>
  <si>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</si>
  <si>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</si>
  <si>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</si>
  <si>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</si>
  <si>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</si>
  <si>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</si>
  <si>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</si>
  <si>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</si>
  <si>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</si>
  <si>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</si>
  <si>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</si>
  <si>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</si>
  <si>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</si>
  <si>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</si>
  <si>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</si>
  <si>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</si>
  <si>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</si>
  <si>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</si>
  <si>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</si>
  <si>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</si>
  <si>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</si>
  <si>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</si>
  <si>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</si>
  <si>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</si>
  <si>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</si>
  <si>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</si>
  <si>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</si>
  <si>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</si>
  <si>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</si>
  <si>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</si>
  <si>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</si>
  <si>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</si>
  <si>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</si>
  <si>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</si>
  <si>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</si>
  <si>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</si>
  <si>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</si>
  <si>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</si>
  <si>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</si>
  <si>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</si>
  <si>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</si>
  <si>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</si>
  <si>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</si>
  <si>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</si>
  <si>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</si>
  <si>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</si>
  <si>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</si>
  <si>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</si>
  <si>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</si>
  <si>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</si>
  <si>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</si>
  <si>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</si>
  <si>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</si>
  <si>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</si>
  <si>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</si>
  <si>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</si>
  <si>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</si>
  <si>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</si>
  <si>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</si>
  <si>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</si>
  <si>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</si>
  <si>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</si>
  <si>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</si>
  <si>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</si>
  <si>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</si>
  <si>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</si>
  <si>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</si>
  <si>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</si>
  <si>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</si>
  <si>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</si>
  <si>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</si>
  <si>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</si>
  <si>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</si>
  <si>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</si>
  <si>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</si>
  <si>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</si>
  <si>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</si>
  <si>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</si>
  <si>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</si>
  <si>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</si>
  <si>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</si>
  <si>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</si>
  <si>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</si>
  <si>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</si>
  <si>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</si>
  <si>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</si>
  <si>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</si>
  <si>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</si>
  <si>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</si>
  <si>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</si>
  <si>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</si>
  <si>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</si>
  <si>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</si>
  <si>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</si>
  <si>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</si>
  <si>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</si>
  <si>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</si>
  <si>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</si>
  <si>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</si>
  <si>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</si>
  <si>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</si>
  <si>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</si>
  <si>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</si>
  <si>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</si>
  <si>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</si>
  <si>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</si>
  <si>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</si>
  <si>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</si>
  <si>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</si>
  <si>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</si>
  <si>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</si>
  <si>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</si>
  <si>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</si>
  <si>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</si>
  <si>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</si>
  <si>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</si>
  <si>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</si>
  <si>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</si>
  <si>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</si>
  <si>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</si>
  <si>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</si>
  <si>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</si>
  <si>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</si>
  <si>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</si>
  <si>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</si>
  <si>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</si>
  <si>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</si>
  <si>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</si>
  <si>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</si>
  <si>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</si>
  <si>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</si>
  <si>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</si>
  <si>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</si>
  <si>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</si>
  <si>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</si>
  <si>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</si>
  <si>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</si>
  <si>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</si>
  <si>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</si>
  <si>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</si>
  <si>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</si>
  <si>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</si>
  <si>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</si>
  <si>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</si>
  <si>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</si>
  <si>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</si>
  <si>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</si>
  <si>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</si>
  <si>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</si>
  <si>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</si>
  <si>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</si>
  <si>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</si>
  <si>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</si>
  <si>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</si>
  <si>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</si>
  <si>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</si>
  <si>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</si>
  <si>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</si>
  <si>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</si>
  <si>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</si>
  <si>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</si>
  <si>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</si>
  <si>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</si>
  <si>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</si>
  <si>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</si>
  <si>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</si>
  <si>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</si>
  <si>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</si>
  <si>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</si>
  <si>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</si>
  <si>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</si>
  <si>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</si>
  <si>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</si>
  <si>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</si>
  <si>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</si>
  <si>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</si>
  <si>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</si>
  <si>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</si>
  <si>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</si>
  <si>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</si>
  <si>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</si>
  <si>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</si>
  <si>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Passed</t>
  </si>
  <si>
    <t>Failed</t>
  </si>
  <si>
    <t>Mucinous Carcinoma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</si>
</sst>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zoomScaleNormal="100" workbookViewId="0">
      <pane ySplit="4" topLeftCell="A6" activePane="bottomLeft" state="frozen"/>
      <selection activeCell="P1" sqref="P1"/>
      <selection pane="bottomLeft" activeCell="G12" sqref="G12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236</v>
      </c>
      <c r="K1" s="21" t="s">
        <v>237</v>
      </c>
      <c r="L1" s="22" t="s">
        <v>238</v>
      </c>
    </row>
    <row r="2" spans="1:79" ht="17" thickTop="1" x14ac:dyDescent="0.2"/>
    <row r="3" spans="1:79" s="6" customFormat="1" x14ac:dyDescent="0.2">
      <c r="A3" s="50" t="s">
        <v>41</v>
      </c>
      <c r="B3" s="50"/>
      <c r="C3" s="50"/>
      <c r="D3" s="50"/>
      <c r="E3" s="50"/>
      <c r="F3" s="50" t="s">
        <v>42</v>
      </c>
      <c r="G3" s="50"/>
      <c r="H3" s="50"/>
      <c r="I3" s="50"/>
      <c r="J3" s="50"/>
      <c r="K3" s="50"/>
      <c r="L3" s="13" t="s">
        <v>43</v>
      </c>
      <c r="M3" s="50" t="s">
        <v>44</v>
      </c>
      <c r="N3" s="50"/>
      <c r="O3" s="7"/>
      <c r="P3" s="50" t="s">
        <v>45</v>
      </c>
      <c r="Q3" s="50"/>
      <c r="R3" s="50"/>
      <c r="S3" s="50"/>
      <c r="T3" s="50"/>
      <c r="U3" s="50" t="s">
        <v>46</v>
      </c>
      <c r="V3" s="50"/>
      <c r="W3" s="50"/>
      <c r="X3" s="50"/>
      <c r="Y3" s="50"/>
      <c r="Z3" s="6" t="s">
        <v>47</v>
      </c>
      <c r="AA3" s="50" t="s">
        <v>48</v>
      </c>
      <c r="AB3" s="50"/>
      <c r="AC3" s="50"/>
      <c r="AD3" s="50" t="s">
        <v>261</v>
      </c>
      <c r="AE3" s="51"/>
      <c r="AF3" s="50" t="s">
        <v>262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49</v>
      </c>
      <c r="AR3" s="50"/>
      <c r="AS3" s="50"/>
      <c r="AT3" s="50"/>
      <c r="AU3" s="50" t="s">
        <v>50</v>
      </c>
      <c r="AV3" s="50"/>
      <c r="AW3" s="28"/>
      <c r="AX3" s="28" t="s">
        <v>263</v>
      </c>
      <c r="AY3" s="50" t="s">
        <v>51</v>
      </c>
      <c r="AZ3" s="50"/>
      <c r="BA3" s="50" t="s">
        <v>52</v>
      </c>
      <c r="BB3" s="50"/>
      <c r="BC3" s="50" t="s">
        <v>214</v>
      </c>
      <c r="BD3" s="51"/>
      <c r="BE3" s="51"/>
      <c r="BF3" s="51"/>
      <c r="BG3" s="51"/>
      <c r="BH3" s="51"/>
      <c r="BI3" s="51"/>
      <c r="BJ3" s="51"/>
      <c r="BK3" s="51"/>
      <c r="BL3" s="50" t="s">
        <v>53</v>
      </c>
      <c r="BM3" s="50"/>
      <c r="BN3" s="50"/>
      <c r="BO3" s="6" t="s">
        <v>264</v>
      </c>
      <c r="BP3" s="50" t="s">
        <v>267</v>
      </c>
      <c r="BQ3" s="51"/>
      <c r="BR3" s="50" t="s">
        <v>272</v>
      </c>
      <c r="BS3" s="51"/>
      <c r="BT3" s="51"/>
      <c r="BU3" s="51"/>
      <c r="BV3" s="51"/>
      <c r="BW3" s="51"/>
      <c r="BX3" s="50" t="s">
        <v>277</v>
      </c>
      <c r="BY3" s="51"/>
      <c r="BZ3" s="51"/>
      <c r="CA3" s="51"/>
    </row>
    <row r="4" spans="1:79" s="5" customFormat="1" x14ac:dyDescent="0.2">
      <c r="A4" s="5" t="s">
        <v>1</v>
      </c>
      <c r="B4" s="5" t="s">
        <v>212</v>
      </c>
      <c r="C4" s="5" t="s">
        <v>213</v>
      </c>
      <c r="D4" s="19" t="s">
        <v>0</v>
      </c>
      <c r="E4" s="19" t="s">
        <v>234</v>
      </c>
      <c r="F4" s="5" t="s">
        <v>2</v>
      </c>
      <c r="G4" s="19" t="s">
        <v>3</v>
      </c>
      <c r="H4" s="19" t="s">
        <v>265</v>
      </c>
      <c r="I4" s="19" t="s">
        <v>4</v>
      </c>
      <c r="J4" s="5" t="s">
        <v>5</v>
      </c>
      <c r="K4" s="19" t="s">
        <v>211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230</v>
      </c>
      <c r="AG4" s="5" t="s">
        <v>229</v>
      </c>
      <c r="AH4" s="5" t="s">
        <v>242</v>
      </c>
      <c r="AI4" s="5" t="s">
        <v>27</v>
      </c>
      <c r="AJ4" s="5" t="s">
        <v>228</v>
      </c>
      <c r="AK4" s="5" t="s">
        <v>227</v>
      </c>
      <c r="AL4" s="5" t="s">
        <v>226</v>
      </c>
      <c r="AM4" s="5" t="s">
        <v>225</v>
      </c>
      <c r="AN4" s="5" t="s">
        <v>224</v>
      </c>
      <c r="AO4" s="5" t="s">
        <v>223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232</v>
      </c>
      <c r="AU4" s="5" t="s">
        <v>33</v>
      </c>
      <c r="AV4" s="5" t="s">
        <v>34</v>
      </c>
      <c r="AW4" s="5" t="s">
        <v>258</v>
      </c>
      <c r="AX4" s="5" t="s">
        <v>257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215</v>
      </c>
      <c r="BD4" s="5" t="s">
        <v>222</v>
      </c>
      <c r="BE4" s="5" t="s">
        <v>221</v>
      </c>
      <c r="BF4" s="5" t="s">
        <v>220</v>
      </c>
      <c r="BG4" s="5" t="s">
        <v>219</v>
      </c>
      <c r="BH4" s="5" t="s">
        <v>278</v>
      </c>
      <c r="BI4" s="5" t="s">
        <v>218</v>
      </c>
      <c r="BJ4" s="5" t="s">
        <v>217</v>
      </c>
      <c r="BK4" s="5" t="s">
        <v>216</v>
      </c>
      <c r="BL4" s="5" t="s">
        <v>231</v>
      </c>
      <c r="BM4" s="5" t="s">
        <v>39</v>
      </c>
      <c r="BN4" s="5" t="s">
        <v>40</v>
      </c>
      <c r="BO4" s="5" t="s">
        <v>256</v>
      </c>
      <c r="BP4" s="5" t="s">
        <v>252</v>
      </c>
      <c r="BQ4" s="5" t="s">
        <v>253</v>
      </c>
      <c r="BR4" s="5" t="s">
        <v>254</v>
      </c>
      <c r="BS4" s="5" t="s">
        <v>255</v>
      </c>
      <c r="BT4" s="5" t="s">
        <v>268</v>
      </c>
      <c r="BU4" s="5" t="s">
        <v>269</v>
      </c>
      <c r="BV4" s="5" t="s">
        <v>270</v>
      </c>
      <c r="BW4" s="5" t="s">
        <v>271</v>
      </c>
      <c r="BX4" s="5" t="s">
        <v>273</v>
      </c>
      <c r="BY4" s="5" t="s">
        <v>274</v>
      </c>
      <c r="BZ4" s="5" t="s">
        <v>275</v>
      </c>
      <c r="CA4" s="5" t="s">
        <v>276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208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IF($AE6="scRNA Sequencing",INDIRECT(CELL("address",$H6)),"")</f>
        <v/>
      </c>
      <c r="AG6" s="8" t="str">
        <f t="shared" ref="AG6:AG71" ca="1" si="1">IF($AF6="", "", "IGO")</f>
        <v/>
      </c>
      <c r="AH6" s="10"/>
      <c r="AI6" s="8" t="str">
        <f ca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/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2">IF(OR($G7="Primary Debulking", $G7="Laparoscopic Biopsy"), "0", IF($G7="Interval Debulking", "1", ""))</f>
        <v/>
      </c>
      <c r="G7" s="32"/>
      <c r="H7" s="12"/>
      <c r="I7" s="32"/>
      <c r="J7" s="8" t="str">
        <f t="shared" si="0"/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t="shared" ref="AF7:AF70" ca="1" si="3">IF($AE7="scRNA Sequencing",INDIRECT(CELL("address",$H7)),"")</f>
        <v/>
      </c>
      <c r="AG7" s="8" t="str">
        <f t="shared" ca="1" si="1"/>
        <v/>
      </c>
      <c r="AH7" s="10"/>
      <c r="AI7" s="8" t="str">
        <f ca="1">IF($AF7="", "", "5000")</f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/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2"/>
        <v/>
      </c>
      <c r="G8" s="32"/>
      <c r="H8" s="12"/>
      <c r="I8" s="32"/>
      <c r="J8" s="8" t="str">
        <f t="shared" si="0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ref="W8:W69" si="4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3"/>
        <v/>
      </c>
      <c r="AG8" s="8" t="str">
        <f t="shared" ca="1" si="1"/>
        <v/>
      </c>
      <c r="AH8" s="10"/>
      <c r="AI8" s="8" t="str">
        <f t="shared" ref="AI8:AI71" ca="1" si="5">IF($AF8="", "", "5000")</f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/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2"/>
        <v/>
      </c>
      <c r="G9" s="32"/>
      <c r="H9" s="12"/>
      <c r="I9" s="32"/>
      <c r="J9" s="8" t="str">
        <f t="shared" si="0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4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3"/>
        <v/>
      </c>
      <c r="AG9" s="8" t="str">
        <f t="shared" ca="1" si="1"/>
        <v/>
      </c>
      <c r="AH9" s="10"/>
      <c r="AI9" s="8" t="str">
        <f t="shared" ca="1" si="5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ref="BD7:BD70" si="6">IF($BC9="", "", "IGO")</f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2"/>
        <v/>
      </c>
      <c r="G10" s="32"/>
      <c r="H10" s="12"/>
      <c r="I10" s="32"/>
      <c r="J10" s="8" t="str">
        <f t="shared" si="0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4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3"/>
        <v/>
      </c>
      <c r="AG10" s="8" t="str">
        <f t="shared" ca="1" si="1"/>
        <v/>
      </c>
      <c r="AH10" s="10"/>
      <c r="AI10" s="8" t="str">
        <f t="shared" ca="1" si="5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6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2"/>
        <v/>
      </c>
      <c r="G11" s="32"/>
      <c r="H11" s="12"/>
      <c r="I11" s="32"/>
      <c r="J11" s="8" t="str">
        <f t="shared" si="0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4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3"/>
        <v/>
      </c>
      <c r="AG11" s="8" t="str">
        <f t="shared" ca="1" si="1"/>
        <v/>
      </c>
      <c r="AH11" s="10"/>
      <c r="AI11" s="8" t="str">
        <f t="shared" ca="1" si="5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6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2"/>
        <v/>
      </c>
      <c r="G12" s="32"/>
      <c r="H12" s="12"/>
      <c r="I12" s="32"/>
      <c r="J12" s="8" t="str">
        <f t="shared" si="0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4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3"/>
        <v/>
      </c>
      <c r="AG12" s="8" t="str">
        <f t="shared" ca="1" si="1"/>
        <v/>
      </c>
      <c r="AH12" s="10"/>
      <c r="AI12" s="8" t="str">
        <f t="shared" ca="1" si="5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6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2"/>
        <v/>
      </c>
      <c r="G13" s="32"/>
      <c r="H13" s="12"/>
      <c r="I13" s="32"/>
      <c r="J13" s="8" t="str">
        <f t="shared" si="0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4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3"/>
        <v/>
      </c>
      <c r="AG13" s="8" t="str">
        <f t="shared" ca="1" si="1"/>
        <v/>
      </c>
      <c r="AH13" s="10"/>
      <c r="AI13" s="8" t="str">
        <f t="shared" ca="1" si="5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6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2"/>
        <v/>
      </c>
      <c r="G14" s="32"/>
      <c r="H14" s="12"/>
      <c r="I14" s="32"/>
      <c r="J14" s="8" t="str">
        <f t="shared" si="0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4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3"/>
        <v/>
      </c>
      <c r="AG14" s="8" t="str">
        <f t="shared" ca="1" si="1"/>
        <v/>
      </c>
      <c r="AH14" s="10"/>
      <c r="AI14" s="8" t="str">
        <f t="shared" ca="1" si="5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6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2"/>
        <v/>
      </c>
      <c r="G15" s="32"/>
      <c r="H15" s="12"/>
      <c r="I15" s="32"/>
      <c r="J15" s="8" t="str">
        <f t="shared" si="0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4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3"/>
        <v/>
      </c>
      <c r="AG15" s="8" t="str">
        <f t="shared" ca="1" si="1"/>
        <v/>
      </c>
      <c r="AH15" s="10"/>
      <c r="AI15" s="8" t="str">
        <f t="shared" ca="1" si="5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6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2"/>
        <v/>
      </c>
      <c r="G16" s="32"/>
      <c r="H16" s="12"/>
      <c r="I16" s="32"/>
      <c r="J16" s="8" t="str">
        <f t="shared" si="0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4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3"/>
        <v/>
      </c>
      <c r="AG16" s="8" t="str">
        <f t="shared" ca="1" si="1"/>
        <v/>
      </c>
      <c r="AH16" s="10"/>
      <c r="AI16" s="8" t="str">
        <f t="shared" ca="1" si="5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6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2"/>
        <v/>
      </c>
      <c r="G17" s="32"/>
      <c r="H17" s="12"/>
      <c r="I17" s="32"/>
      <c r="J17" s="8" t="str">
        <f t="shared" si="0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4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3"/>
        <v/>
      </c>
      <c r="AG17" s="8" t="str">
        <f t="shared" ca="1" si="1"/>
        <v/>
      </c>
      <c r="AH17" s="10"/>
      <c r="AI17" s="8" t="str">
        <f t="shared" ca="1" si="5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6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2"/>
        <v/>
      </c>
      <c r="G18" s="32"/>
      <c r="H18" s="12"/>
      <c r="I18" s="32"/>
      <c r="J18" s="8" t="str">
        <f t="shared" si="0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4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3"/>
        <v/>
      </c>
      <c r="AG18" s="8" t="str">
        <f t="shared" ca="1" si="1"/>
        <v/>
      </c>
      <c r="AH18" s="10"/>
      <c r="AI18" s="8" t="str">
        <f t="shared" ca="1" si="5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6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2"/>
        <v/>
      </c>
      <c r="G19" s="32"/>
      <c r="H19" s="12"/>
      <c r="I19" s="32"/>
      <c r="J19" s="8" t="str">
        <f t="shared" si="0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4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3"/>
        <v/>
      </c>
      <c r="AG19" s="8" t="str">
        <f t="shared" ca="1" si="1"/>
        <v/>
      </c>
      <c r="AH19" s="10"/>
      <c r="AI19" s="8" t="str">
        <f t="shared" ca="1" si="5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6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2"/>
        <v/>
      </c>
      <c r="G20" s="32"/>
      <c r="H20" s="12"/>
      <c r="I20" s="32"/>
      <c r="J20" s="8" t="str">
        <f t="shared" si="0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4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3"/>
        <v/>
      </c>
      <c r="AG20" s="8" t="str">
        <f t="shared" ca="1" si="1"/>
        <v/>
      </c>
      <c r="AH20" s="10"/>
      <c r="AI20" s="8" t="str">
        <f t="shared" ca="1" si="5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6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2"/>
        <v/>
      </c>
      <c r="G21" s="32"/>
      <c r="H21" s="12"/>
      <c r="I21" s="32"/>
      <c r="J21" s="8" t="str">
        <f t="shared" si="0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4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3"/>
        <v/>
      </c>
      <c r="AG21" s="8" t="str">
        <f t="shared" ca="1" si="1"/>
        <v/>
      </c>
      <c r="AH21" s="10"/>
      <c r="AI21" s="8" t="str">
        <f t="shared" ca="1" si="5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6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2"/>
        <v/>
      </c>
      <c r="G22" s="32"/>
      <c r="H22" s="12"/>
      <c r="I22" s="32"/>
      <c r="J22" s="8" t="str">
        <f t="shared" si="0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4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3"/>
        <v/>
      </c>
      <c r="AG22" s="8" t="str">
        <f t="shared" ca="1" si="1"/>
        <v/>
      </c>
      <c r="AH22" s="10"/>
      <c r="AI22" s="8" t="str">
        <f t="shared" ca="1" si="5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6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2"/>
        <v/>
      </c>
      <c r="G23" s="32"/>
      <c r="H23" s="12"/>
      <c r="I23" s="32"/>
      <c r="J23" s="8" t="str">
        <f t="shared" si="0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4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3"/>
        <v/>
      </c>
      <c r="AG23" s="8" t="str">
        <f t="shared" ca="1" si="1"/>
        <v/>
      </c>
      <c r="AH23" s="10"/>
      <c r="AI23" s="8" t="str">
        <f t="shared" ca="1" si="5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6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2"/>
        <v/>
      </c>
      <c r="G24" s="32"/>
      <c r="H24" s="12"/>
      <c r="I24" s="32"/>
      <c r="J24" s="8" t="str">
        <f t="shared" si="0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4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3"/>
        <v/>
      </c>
      <c r="AG24" s="8" t="str">
        <f t="shared" ca="1" si="1"/>
        <v/>
      </c>
      <c r="AH24" s="10"/>
      <c r="AI24" s="8" t="str">
        <f t="shared" ca="1" si="5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6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2"/>
        <v/>
      </c>
      <c r="G25" s="32"/>
      <c r="H25" s="12"/>
      <c r="I25" s="32"/>
      <c r="J25" s="8" t="str">
        <f t="shared" si="0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4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3"/>
        <v/>
      </c>
      <c r="AG25" s="8" t="str">
        <f t="shared" ca="1" si="1"/>
        <v/>
      </c>
      <c r="AH25" s="10"/>
      <c r="AI25" s="8" t="str">
        <f t="shared" ca="1" si="5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6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2"/>
        <v/>
      </c>
      <c r="G26" s="32"/>
      <c r="H26" s="12"/>
      <c r="I26" s="32"/>
      <c r="J26" s="8" t="str">
        <f t="shared" si="0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4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3"/>
        <v/>
      </c>
      <c r="AG26" s="8" t="str">
        <f t="shared" ca="1" si="1"/>
        <v/>
      </c>
      <c r="AH26" s="10"/>
      <c r="AI26" s="8" t="str">
        <f t="shared" ca="1" si="5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6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2"/>
        <v/>
      </c>
      <c r="G27" s="32"/>
      <c r="H27" s="12"/>
      <c r="I27" s="32"/>
      <c r="J27" s="8" t="str">
        <f t="shared" si="0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4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3"/>
        <v/>
      </c>
      <c r="AG27" s="8" t="str">
        <f t="shared" ca="1" si="1"/>
        <v/>
      </c>
      <c r="AH27" s="10"/>
      <c r="AI27" s="8" t="str">
        <f t="shared" ca="1" si="5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6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2"/>
        <v/>
      </c>
      <c r="G28" s="32"/>
      <c r="H28" s="12"/>
      <c r="I28" s="32"/>
      <c r="J28" s="8" t="str">
        <f t="shared" si="0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4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3"/>
        <v/>
      </c>
      <c r="AG28" s="8" t="str">
        <f t="shared" ca="1" si="1"/>
        <v/>
      </c>
      <c r="AH28" s="10"/>
      <c r="AI28" s="8" t="str">
        <f t="shared" ca="1" si="5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6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2"/>
        <v/>
      </c>
      <c r="G29" s="32"/>
      <c r="H29" s="12"/>
      <c r="I29" s="32"/>
      <c r="J29" s="8" t="str">
        <f t="shared" si="0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4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3"/>
        <v/>
      </c>
      <c r="AG29" s="8" t="str">
        <f t="shared" ca="1" si="1"/>
        <v/>
      </c>
      <c r="AH29" s="10"/>
      <c r="AI29" s="8" t="str">
        <f t="shared" ca="1" si="5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6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2"/>
        <v/>
      </c>
      <c r="G30" s="32"/>
      <c r="H30" s="12"/>
      <c r="I30" s="32"/>
      <c r="J30" s="8" t="str">
        <f t="shared" si="0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4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3"/>
        <v/>
      </c>
      <c r="AG30" s="8" t="str">
        <f t="shared" ca="1" si="1"/>
        <v/>
      </c>
      <c r="AH30" s="10"/>
      <c r="AI30" s="8" t="str">
        <f t="shared" ca="1" si="5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6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2"/>
        <v/>
      </c>
      <c r="G31" s="32"/>
      <c r="H31" s="12"/>
      <c r="I31" s="32"/>
      <c r="J31" s="8" t="str">
        <f t="shared" si="0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4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3"/>
        <v/>
      </c>
      <c r="AG31" s="8" t="str">
        <f t="shared" ca="1" si="1"/>
        <v/>
      </c>
      <c r="AH31" s="10"/>
      <c r="AI31" s="8" t="str">
        <f t="shared" ca="1" si="5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6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2"/>
        <v/>
      </c>
      <c r="G32" s="32"/>
      <c r="H32" s="12"/>
      <c r="I32" s="32"/>
      <c r="J32" s="8" t="str">
        <f t="shared" si="0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4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3"/>
        <v/>
      </c>
      <c r="AG32" s="8" t="str">
        <f t="shared" ca="1" si="1"/>
        <v/>
      </c>
      <c r="AH32" s="10"/>
      <c r="AI32" s="8" t="str">
        <f t="shared" ca="1" si="5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6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2"/>
        <v/>
      </c>
      <c r="G33" s="32"/>
      <c r="H33" s="12"/>
      <c r="I33" s="32"/>
      <c r="J33" s="8" t="str">
        <f t="shared" si="0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4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3"/>
        <v/>
      </c>
      <c r="AG33" s="8" t="str">
        <f t="shared" ca="1" si="1"/>
        <v/>
      </c>
      <c r="AH33" s="10"/>
      <c r="AI33" s="8" t="str">
        <f t="shared" ca="1" si="5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6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2"/>
        <v/>
      </c>
      <c r="G34" s="32"/>
      <c r="H34" s="12"/>
      <c r="I34" s="32"/>
      <c r="J34" s="8" t="str">
        <f t="shared" si="0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4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3"/>
        <v/>
      </c>
      <c r="AG34" s="8" t="str">
        <f t="shared" ca="1" si="1"/>
        <v/>
      </c>
      <c r="AH34" s="10"/>
      <c r="AI34" s="8" t="str">
        <f t="shared" ca="1" si="5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6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2"/>
        <v/>
      </c>
      <c r="G35" s="32"/>
      <c r="H35" s="12"/>
      <c r="I35" s="32"/>
      <c r="J35" s="8" t="str">
        <f t="shared" si="0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4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3"/>
        <v/>
      </c>
      <c r="AG35" s="8" t="str">
        <f t="shared" ca="1" si="1"/>
        <v/>
      </c>
      <c r="AH35" s="10"/>
      <c r="AI35" s="8" t="str">
        <f t="shared" ca="1" si="5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6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2"/>
        <v/>
      </c>
      <c r="G36" s="32"/>
      <c r="H36" s="12"/>
      <c r="I36" s="32"/>
      <c r="J36" s="8" t="str">
        <f t="shared" si="0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4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3"/>
        <v/>
      </c>
      <c r="AG36" s="8" t="str">
        <f t="shared" ca="1" si="1"/>
        <v/>
      </c>
      <c r="AH36" s="10"/>
      <c r="AI36" s="8" t="str">
        <f t="shared" ca="1" si="5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6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2"/>
        <v/>
      </c>
      <c r="G37" s="32"/>
      <c r="H37" s="12"/>
      <c r="I37" s="32"/>
      <c r="J37" s="8" t="str">
        <f t="shared" si="0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4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3"/>
        <v/>
      </c>
      <c r="AG37" s="8" t="str">
        <f t="shared" ca="1" si="1"/>
        <v/>
      </c>
      <c r="AH37" s="10"/>
      <c r="AI37" s="8" t="str">
        <f t="shared" ca="1" si="5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6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2"/>
        <v/>
      </c>
      <c r="G38" s="32"/>
      <c r="H38" s="12"/>
      <c r="I38" s="32"/>
      <c r="J38" s="8" t="str">
        <f t="shared" si="0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4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3"/>
        <v/>
      </c>
      <c r="AG38" s="8" t="str">
        <f t="shared" ca="1" si="1"/>
        <v/>
      </c>
      <c r="AH38" s="10"/>
      <c r="AI38" s="8" t="str">
        <f t="shared" ca="1" si="5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6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4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3"/>
        <v/>
      </c>
      <c r="AG39" s="8" t="str">
        <f t="shared" ca="1" si="1"/>
        <v/>
      </c>
      <c r="AH39" s="10"/>
      <c r="AI39" s="8" t="str">
        <f t="shared" ca="1" si="5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6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4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3"/>
        <v/>
      </c>
      <c r="AG40" s="8" t="str">
        <f t="shared" ca="1" si="1"/>
        <v/>
      </c>
      <c r="AH40" s="10"/>
      <c r="AI40" s="8" t="str">
        <f t="shared" ca="1" si="5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6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4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3"/>
        <v/>
      </c>
      <c r="AG41" s="8" t="str">
        <f t="shared" ca="1" si="1"/>
        <v/>
      </c>
      <c r="AH41" s="10"/>
      <c r="AI41" s="8" t="str">
        <f t="shared" ca="1" si="5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6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4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3"/>
        <v/>
      </c>
      <c r="AG42" s="8" t="str">
        <f t="shared" ca="1" si="1"/>
        <v/>
      </c>
      <c r="AH42" s="10"/>
      <c r="AI42" s="8" t="str">
        <f t="shared" ca="1" si="5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6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4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3"/>
        <v/>
      </c>
      <c r="AG43" s="8" t="str">
        <f t="shared" ca="1" si="1"/>
        <v/>
      </c>
      <c r="AH43" s="10"/>
      <c r="AI43" s="8" t="str">
        <f t="shared" ca="1" si="5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6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4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3"/>
        <v/>
      </c>
      <c r="AG44" s="8" t="str">
        <f t="shared" ca="1" si="1"/>
        <v/>
      </c>
      <c r="AH44" s="10"/>
      <c r="AI44" s="8" t="str">
        <f t="shared" ca="1" si="5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6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4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3"/>
        <v/>
      </c>
      <c r="AG45" s="8" t="str">
        <f t="shared" ca="1" si="1"/>
        <v/>
      </c>
      <c r="AH45" s="10"/>
      <c r="AI45" s="8" t="str">
        <f t="shared" ca="1" si="5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6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4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3"/>
        <v/>
      </c>
      <c r="AG46" s="8" t="str">
        <f t="shared" ca="1" si="1"/>
        <v/>
      </c>
      <c r="AH46" s="10"/>
      <c r="AI46" s="8" t="str">
        <f t="shared" ca="1" si="5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6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4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3"/>
        <v/>
      </c>
      <c r="AG47" s="8" t="str">
        <f t="shared" ca="1" si="1"/>
        <v/>
      </c>
      <c r="AH47" s="10"/>
      <c r="AI47" s="8" t="str">
        <f t="shared" ca="1" si="5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6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4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3"/>
        <v/>
      </c>
      <c r="AG48" s="8" t="str">
        <f t="shared" ca="1" si="1"/>
        <v/>
      </c>
      <c r="AH48" s="10"/>
      <c r="AI48" s="8" t="str">
        <f t="shared" ca="1" si="5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6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4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3"/>
        <v/>
      </c>
      <c r="AG49" s="8" t="str">
        <f t="shared" ca="1" si="1"/>
        <v/>
      </c>
      <c r="AH49" s="10"/>
      <c r="AI49" s="8" t="str">
        <f t="shared" ca="1" si="5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6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4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3"/>
        <v/>
      </c>
      <c r="AG50" s="8" t="str">
        <f t="shared" ca="1" si="1"/>
        <v/>
      </c>
      <c r="AH50" s="10"/>
      <c r="AI50" s="8" t="str">
        <f t="shared" ca="1" si="5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6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4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3"/>
        <v/>
      </c>
      <c r="AG51" s="8" t="str">
        <f t="shared" ca="1" si="1"/>
        <v/>
      </c>
      <c r="AH51" s="10"/>
      <c r="AI51" s="8" t="str">
        <f t="shared" ca="1" si="5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6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4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3"/>
        <v/>
      </c>
      <c r="AG52" s="8" t="str">
        <f t="shared" ca="1" si="1"/>
        <v/>
      </c>
      <c r="AH52" s="10"/>
      <c r="AI52" s="8" t="str">
        <f t="shared" ca="1" si="5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6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4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3"/>
        <v/>
      </c>
      <c r="AG53" s="8" t="str">
        <f t="shared" ca="1" si="1"/>
        <v/>
      </c>
      <c r="AH53" s="10"/>
      <c r="AI53" s="8" t="str">
        <f t="shared" ca="1" si="5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6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4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3"/>
        <v/>
      </c>
      <c r="AG54" s="8" t="str">
        <f t="shared" ca="1" si="1"/>
        <v/>
      </c>
      <c r="AH54" s="10"/>
      <c r="AI54" s="8" t="str">
        <f t="shared" ca="1" si="5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6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4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3"/>
        <v/>
      </c>
      <c r="AG55" s="8" t="str">
        <f t="shared" ca="1" si="1"/>
        <v/>
      </c>
      <c r="AH55" s="10"/>
      <c r="AI55" s="8" t="str">
        <f t="shared" ca="1" si="5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6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4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3"/>
        <v/>
      </c>
      <c r="AG56" s="8" t="str">
        <f t="shared" ca="1" si="1"/>
        <v/>
      </c>
      <c r="AH56" s="10"/>
      <c r="AI56" s="8" t="str">
        <f t="shared" ca="1" si="5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6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4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3"/>
        <v/>
      </c>
      <c r="AG57" s="8" t="str">
        <f t="shared" ca="1" si="1"/>
        <v/>
      </c>
      <c r="AH57" s="10"/>
      <c r="AI57" s="8" t="str">
        <f t="shared" ca="1" si="5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6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4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3"/>
        <v/>
      </c>
      <c r="AG58" s="8" t="str">
        <f t="shared" ca="1" si="1"/>
        <v/>
      </c>
      <c r="AH58" s="10"/>
      <c r="AI58" s="8" t="str">
        <f t="shared" ca="1" si="5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6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4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3"/>
        <v/>
      </c>
      <c r="AG59" s="8" t="str">
        <f t="shared" ca="1" si="1"/>
        <v/>
      </c>
      <c r="AH59" s="10"/>
      <c r="AI59" s="8" t="str">
        <f t="shared" ca="1" si="5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6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4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3"/>
        <v/>
      </c>
      <c r="AG60" s="8" t="str">
        <f t="shared" ca="1" si="1"/>
        <v/>
      </c>
      <c r="AH60" s="10"/>
      <c r="AI60" s="8" t="str">
        <f t="shared" ca="1" si="5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6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4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3"/>
        <v/>
      </c>
      <c r="AG61" s="8" t="str">
        <f t="shared" ca="1" si="1"/>
        <v/>
      </c>
      <c r="AH61" s="10"/>
      <c r="AI61" s="8" t="str">
        <f t="shared" ca="1" si="5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6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4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3"/>
        <v/>
      </c>
      <c r="AG62" s="8" t="str">
        <f t="shared" ca="1" si="1"/>
        <v/>
      </c>
      <c r="AH62" s="10"/>
      <c r="AI62" s="8" t="str">
        <f t="shared" ca="1" si="5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6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4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3"/>
        <v/>
      </c>
      <c r="AG63" s="8" t="str">
        <f t="shared" ca="1" si="1"/>
        <v/>
      </c>
      <c r="AH63" s="10"/>
      <c r="AI63" s="8" t="str">
        <f t="shared" ca="1" si="5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6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4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3"/>
        <v/>
      </c>
      <c r="AG64" s="8" t="str">
        <f t="shared" ca="1" si="1"/>
        <v/>
      </c>
      <c r="AH64" s="10"/>
      <c r="AI64" s="8" t="str">
        <f t="shared" ca="1" si="5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6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4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3"/>
        <v/>
      </c>
      <c r="AG65" s="8" t="str">
        <f t="shared" ca="1" si="1"/>
        <v/>
      </c>
      <c r="AH65" s="10"/>
      <c r="AI65" s="8" t="str">
        <f t="shared" ca="1" si="5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6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4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3"/>
        <v/>
      </c>
      <c r="AG66" s="8" t="str">
        <f t="shared" ca="1" si="1"/>
        <v/>
      </c>
      <c r="AH66" s="10"/>
      <c r="AI66" s="8" t="str">
        <f t="shared" ca="1" si="5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6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4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3"/>
        <v/>
      </c>
      <c r="AG67" s="8" t="str">
        <f t="shared" ca="1" si="1"/>
        <v/>
      </c>
      <c r="AH67" s="10"/>
      <c r="AI67" s="8" t="str">
        <f t="shared" ca="1" si="5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6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4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3"/>
        <v/>
      </c>
      <c r="AG68" s="8" t="str">
        <f t="shared" ca="1" si="1"/>
        <v/>
      </c>
      <c r="AH68" s="10"/>
      <c r="AI68" s="8" t="str">
        <f t="shared" ca="1" si="5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6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4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3"/>
        <v/>
      </c>
      <c r="AG69" s="8" t="str">
        <f t="shared" ca="1" si="1"/>
        <v/>
      </c>
      <c r="AH69" s="10"/>
      <c r="AI69" s="8" t="str">
        <f t="shared" ca="1" si="5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6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3"/>
        <v/>
      </c>
      <c r="AG70" s="8" t="str">
        <f t="shared" ca="1" si="1"/>
        <v/>
      </c>
      <c r="AH70" s="10"/>
      <c r="AI70" s="8" t="str">
        <f t="shared" ca="1" si="5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6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100" ca="1" si="14">IF($AE71="scRNA Sequencing",INDIRECT(CELL("address",$H71)),"")</f>
        <v/>
      </c>
      <c r="AG71" s="8" t="str">
        <f t="shared" ca="1" si="1"/>
        <v/>
      </c>
      <c r="AH71" s="10"/>
      <c r="AI71" s="8" t="str">
        <f t="shared" ca="1" si="5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5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6">IF($AF72="", "", "IGO")</f>
        <v/>
      </c>
      <c r="AH72" s="10"/>
      <c r="AI72" s="8" t="str">
        <f t="shared" ref="AI72:AI100" ca="1" si="17">IF($AF72="", "", "5000")</f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6"/>
        <v/>
      </c>
      <c r="AH73" s="10"/>
      <c r="AI73" s="8" t="str">
        <f t="shared" ca="1" si="17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6"/>
        <v/>
      </c>
      <c r="AH74" s="10"/>
      <c r="AI74" s="8" t="str">
        <f t="shared" ca="1" si="17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t="shared" ca="1" si="14"/>
        <v/>
      </c>
      <c r="AG75" s="8" t="str">
        <f t="shared" ca="1" si="16"/>
        <v/>
      </c>
      <c r="AH75" s="10"/>
      <c r="AI75" s="8" t="str">
        <f t="shared" ca="1" si="17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ca="1" si="14"/>
        <v/>
      </c>
      <c r="AG76" s="8" t="str">
        <f t="shared" ca="1" si="16"/>
        <v/>
      </c>
      <c r="AH76" s="10"/>
      <c r="AI76" s="8" t="str">
        <f t="shared" ca="1" si="17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4"/>
        <v/>
      </c>
      <c r="AG77" s="8" t="str">
        <f t="shared" ca="1" si="16"/>
        <v/>
      </c>
      <c r="AH77" s="10"/>
      <c r="AI77" s="8" t="str">
        <f t="shared" ca="1" si="17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4"/>
        <v/>
      </c>
      <c r="AG78" s="8" t="str">
        <f t="shared" ca="1" si="16"/>
        <v/>
      </c>
      <c r="AH78" s="10"/>
      <c r="AI78" s="8" t="str">
        <f t="shared" ca="1" si="17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4"/>
        <v/>
      </c>
      <c r="AG79" s="8" t="str">
        <f t="shared" ca="1" si="16"/>
        <v/>
      </c>
      <c r="AH79" s="10"/>
      <c r="AI79" s="8" t="str">
        <f t="shared" ca="1" si="17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4"/>
        <v/>
      </c>
      <c r="AG80" s="8" t="str">
        <f t="shared" ca="1" si="16"/>
        <v/>
      </c>
      <c r="AH80" s="10"/>
      <c r="AI80" s="8" t="str">
        <f t="shared" ca="1" si="17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4"/>
        <v/>
      </c>
      <c r="AG81" s="8" t="str">
        <f t="shared" ca="1" si="16"/>
        <v/>
      </c>
      <c r="AH81" s="10"/>
      <c r="AI81" s="8" t="str">
        <f t="shared" ca="1" si="17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4"/>
        <v/>
      </c>
      <c r="AG82" s="8" t="str">
        <f t="shared" ca="1" si="16"/>
        <v/>
      </c>
      <c r="AH82" s="10"/>
      <c r="AI82" s="8" t="str">
        <f t="shared" ca="1" si="17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4"/>
        <v/>
      </c>
      <c r="AG83" s="8" t="str">
        <f t="shared" ca="1" si="16"/>
        <v/>
      </c>
      <c r="AH83" s="10"/>
      <c r="AI83" s="8" t="str">
        <f t="shared" ca="1" si="17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4"/>
        <v/>
      </c>
      <c r="AG84" s="8" t="str">
        <f t="shared" ca="1" si="16"/>
        <v/>
      </c>
      <c r="AH84" s="10"/>
      <c r="AI84" s="8" t="str">
        <f t="shared" ca="1" si="17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4"/>
        <v/>
      </c>
      <c r="AG85" s="8" t="str">
        <f t="shared" ca="1" si="16"/>
        <v/>
      </c>
      <c r="AH85" s="10"/>
      <c r="AI85" s="8" t="str">
        <f t="shared" ca="1" si="17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4"/>
        <v/>
      </c>
      <c r="AG86" s="8" t="str">
        <f t="shared" ca="1" si="16"/>
        <v/>
      </c>
      <c r="AH86" s="10"/>
      <c r="AI86" s="8" t="str">
        <f t="shared" ca="1" si="17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4"/>
        <v/>
      </c>
      <c r="AG87" s="8" t="str">
        <f t="shared" ca="1" si="16"/>
        <v/>
      </c>
      <c r="AH87" s="10"/>
      <c r="AI87" s="8" t="str">
        <f t="shared" ca="1" si="17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4"/>
        <v/>
      </c>
      <c r="AG88" s="8" t="str">
        <f t="shared" ca="1" si="16"/>
        <v/>
      </c>
      <c r="AH88" s="10"/>
      <c r="AI88" s="8" t="str">
        <f t="shared" ca="1" si="17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4"/>
        <v/>
      </c>
      <c r="AG89" s="8" t="str">
        <f t="shared" ca="1" si="16"/>
        <v/>
      </c>
      <c r="AH89" s="10"/>
      <c r="AI89" s="8" t="str">
        <f t="shared" ca="1" si="17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4"/>
        <v/>
      </c>
      <c r="AG90" s="8" t="str">
        <f t="shared" ca="1" si="16"/>
        <v/>
      </c>
      <c r="AH90" s="10"/>
      <c r="AI90" s="8" t="str">
        <f t="shared" ca="1" si="17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4"/>
        <v/>
      </c>
      <c r="AG91" s="8" t="str">
        <f t="shared" ca="1" si="16"/>
        <v/>
      </c>
      <c r="AH91" s="10"/>
      <c r="AI91" s="8" t="str">
        <f t="shared" ca="1" si="17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4"/>
        <v/>
      </c>
      <c r="AG92" s="8" t="str">
        <f t="shared" ca="1" si="16"/>
        <v/>
      </c>
      <c r="AH92" s="10"/>
      <c r="AI92" s="8" t="str">
        <f t="shared" ca="1" si="17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4"/>
        <v/>
      </c>
      <c r="AG93" s="8" t="str">
        <f t="shared" ca="1" si="16"/>
        <v/>
      </c>
      <c r="AH93" s="10"/>
      <c r="AI93" s="8" t="str">
        <f t="shared" ca="1" si="17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5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4"/>
        <v/>
      </c>
      <c r="AG94" s="8" t="str">
        <f t="shared" ca="1" si="16"/>
        <v/>
      </c>
      <c r="AH94" s="10"/>
      <c r="AI94" s="8" t="str">
        <f t="shared" ca="1" si="17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5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4"/>
        <v/>
      </c>
      <c r="AG95" s="8" t="str">
        <f t="shared" ca="1" si="16"/>
        <v/>
      </c>
      <c r="AH95" s="10"/>
      <c r="AI95" s="8" t="str">
        <f t="shared" ca="1" si="17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5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4"/>
        <v/>
      </c>
      <c r="AG96" s="8" t="str">
        <f t="shared" ca="1" si="16"/>
        <v/>
      </c>
      <c r="AH96" s="10"/>
      <c r="AI96" s="8" t="str">
        <f t="shared" ca="1" si="17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5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4"/>
        <v/>
      </c>
      <c r="AG97" s="8" t="str">
        <f t="shared" ca="1" si="16"/>
        <v/>
      </c>
      <c r="AH97" s="10"/>
      <c r="AI97" s="8" t="str">
        <f t="shared" ca="1" si="17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5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4"/>
        <v/>
      </c>
      <c r="AG98" s="8" t="str">
        <f t="shared" ca="1" si="16"/>
        <v/>
      </c>
      <c r="AH98" s="10"/>
      <c r="AI98" s="8" t="str">
        <f t="shared" ca="1" si="17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5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4"/>
        <v/>
      </c>
      <c r="AG99" s="8" t="str">
        <f t="shared" ca="1" si="16"/>
        <v/>
      </c>
      <c r="AH99" s="10"/>
      <c r="AI99" s="8" t="str">
        <f t="shared" ca="1" si="17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5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4"/>
        <v/>
      </c>
      <c r="AG100" s="8" t="str">
        <f t="shared" ca="1" si="16"/>
        <v/>
      </c>
      <c r="AH100" s="10"/>
      <c r="AI100" s="8" t="str">
        <f t="shared" ca="1" si="17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5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60" priority="69">
      <formula>$L6="Yes"</formula>
    </cfRule>
  </conditionalFormatting>
  <conditionalFormatting sqref="A6:A100">
    <cfRule type="containsBlanks" dxfId="59" priority="68">
      <formula>LEN(TRIM(A6))=0</formula>
    </cfRule>
  </conditionalFormatting>
  <conditionalFormatting sqref="M6 M39:M100">
    <cfRule type="expression" dxfId="58" priority="67">
      <formula>$L6="Yes"</formula>
    </cfRule>
  </conditionalFormatting>
  <conditionalFormatting sqref="U6:V100 X6:Y100">
    <cfRule type="expression" dxfId="57" priority="66">
      <formula>$T6="Single Cell Suspension"</formula>
    </cfRule>
  </conditionalFormatting>
  <conditionalFormatting sqref="Z6:AE100">
    <cfRule type="expression" dxfId="56" priority="73">
      <formula>$Y6="Unsorted Single Cell Sequencing"</formula>
    </cfRule>
  </conditionalFormatting>
  <conditionalFormatting sqref="AD6:AE100">
    <cfRule type="expression" dxfId="55" priority="72">
      <formula>$Y6="Unsorted Single Cell Sequencing"</formula>
    </cfRule>
  </conditionalFormatting>
  <conditionalFormatting sqref="AJ6:AP100">
    <cfRule type="notContainsBlanks" dxfId="54" priority="43">
      <formula>LEN(TRIM(AJ6))&gt;0</formula>
    </cfRule>
    <cfRule type="expression" dxfId="53" priority="44">
      <formula>$Y6="Sorted Single Cell Sequencing"</formula>
    </cfRule>
    <cfRule type="expression" dxfId="52" priority="45">
      <formula>$Y6="Unsorted Single Cell Sequencing"</formula>
    </cfRule>
  </conditionalFormatting>
  <conditionalFormatting sqref="X6:Y100 AU8:AX100 AU7:AW7 AU6:AX6">
    <cfRule type="notContainsBlanks" dxfId="51" priority="13">
      <formula>LEN(TRIM(X6))&gt;0</formula>
    </cfRule>
  </conditionalFormatting>
  <conditionalFormatting sqref="AQ6:AT100">
    <cfRule type="notContainsBlanks" dxfId="50" priority="5">
      <formula>LEN(TRIM(AQ6))&gt;0</formula>
    </cfRule>
    <cfRule type="expression" dxfId="49" priority="55">
      <formula>$T6="Frozen Tissue"</formula>
    </cfRule>
    <cfRule type="expression" dxfId="48" priority="59">
      <formula>$T6="FFPE Block"</formula>
    </cfRule>
  </conditionalFormatting>
  <conditionalFormatting sqref="U6:V100">
    <cfRule type="notContainsBlanks" dxfId="47" priority="35">
      <formula>LEN(TRIM(U6))&gt;0</formula>
    </cfRule>
    <cfRule type="notContainsBlanks" dxfId="46" priority="103">
      <formula>LEN(TRIM(U6))&gt;0</formula>
    </cfRule>
    <cfRule type="expression" dxfId="45" priority="104">
      <formula>$T6="Single Cell Suspension"</formula>
    </cfRule>
  </conditionalFormatting>
  <conditionalFormatting sqref="AU8:BC100 AU6:AW7 AY6:BK6 AY7:BC7 BD7:BK100">
    <cfRule type="expression" dxfId="44" priority="58">
      <formula>$AT6="IF"</formula>
    </cfRule>
  </conditionalFormatting>
  <conditionalFormatting sqref="AY6:AZ100">
    <cfRule type="expression" dxfId="43" priority="53">
      <formula>$AW6="Curls"</formula>
    </cfRule>
  </conditionalFormatting>
  <conditionalFormatting sqref="AU8:BC100 AU6:AW7 AY6:BN6 AY7:BC7 BD7:BN100">
    <cfRule type="expression" dxfId="42" priority="75">
      <formula>$AT6="Storage Only"</formula>
    </cfRule>
  </conditionalFormatting>
  <conditionalFormatting sqref="AY6:BC100">
    <cfRule type="notContainsBlanks" dxfId="41" priority="24">
      <formula>LEN(TRIM(AY6))&gt;0</formula>
    </cfRule>
    <cfRule type="expression" dxfId="40" priority="50">
      <formula>$AW6="Microdissect"</formula>
    </cfRule>
  </conditionalFormatting>
  <conditionalFormatting sqref="BL6:BN100">
    <cfRule type="notContainsBlanks" dxfId="39" priority="27">
      <formula>LEN(TRIM(BL6))&gt;0</formula>
    </cfRule>
    <cfRule type="expression" dxfId="38" priority="30">
      <formula>$AT6="IF"</formula>
    </cfRule>
  </conditionalFormatting>
  <conditionalFormatting sqref="O6:O100">
    <cfRule type="expression" dxfId="37" priority="37">
      <formula>$L6="No"</formula>
    </cfRule>
  </conditionalFormatting>
  <conditionalFormatting sqref="BE6:BK100">
    <cfRule type="notContainsBlanks" dxfId="36" priority="11">
      <formula>LEN(TRIM(BE6))&gt;0</formula>
    </cfRule>
    <cfRule type="expression" dxfId="35" priority="49">
      <formula>$BD6="IGO"</formula>
    </cfRule>
  </conditionalFormatting>
  <conditionalFormatting sqref="Z6:AE100">
    <cfRule type="notContainsBlanks" dxfId="34" priority="60">
      <formula>LEN(TRIM(Z6))&gt;0</formula>
    </cfRule>
    <cfRule type="expression" dxfId="33" priority="61">
      <formula>$Y6="Sorted Single Cell Sequencing"</formula>
    </cfRule>
  </conditionalFormatting>
  <conditionalFormatting sqref="AU6:BC100">
    <cfRule type="expression" dxfId="32" priority="54">
      <formula>$T6="FFPE Block"</formula>
    </cfRule>
  </conditionalFormatting>
  <conditionalFormatting sqref="U6:AE100 AG6:AP100">
    <cfRule type="expression" dxfId="31" priority="36">
      <formula>$T6="Frozen Tissue"</formula>
    </cfRule>
    <cfRule type="expression" dxfId="30" priority="40">
      <formula>$T6="FFPE Block"</formula>
    </cfRule>
  </conditionalFormatting>
  <conditionalFormatting sqref="BP6:CA100">
    <cfRule type="expression" dxfId="29" priority="1">
      <formula>$Y6="Storage Only"</formula>
    </cfRule>
    <cfRule type="notContainsBlanks" dxfId="28" priority="3">
      <formula>LEN(TRIM(BP6))&gt;0</formula>
    </cfRule>
  </conditionalFormatting>
  <conditionalFormatting sqref="BO6:BO100">
    <cfRule type="notContainsBlanks" dxfId="27" priority="14">
      <formula>LEN(TRIM(BO6))&gt;0</formula>
    </cfRule>
    <cfRule type="expression" dxfId="26" priority="19">
      <formula>$Y6 = "Storage Only"</formula>
    </cfRule>
  </conditionalFormatting>
  <conditionalFormatting sqref="AH6:AH100">
    <cfRule type="notContainsBlanks" dxfId="25" priority="4">
      <formula>LEN(TRIM(AH6))&gt;0</formula>
    </cfRule>
    <cfRule type="expression" dxfId="24" priority="22">
      <formula>$AE6="DLP"</formula>
    </cfRule>
    <cfRule type="expression" dxfId="23" priority="23">
      <formula>$AE6 = "scRNA Sequencing"</formula>
    </cfRule>
  </conditionalFormatting>
  <conditionalFormatting sqref="M7:M11">
    <cfRule type="expression" dxfId="22" priority="17">
      <formula>$L7="Yes"</formula>
    </cfRule>
  </conditionalFormatting>
  <conditionalFormatting sqref="M12:M38">
    <cfRule type="expression" dxfId="21" priority="16">
      <formula>$L12="Yes"</formula>
    </cfRule>
  </conditionalFormatting>
  <conditionalFormatting sqref="AU6:AW100">
    <cfRule type="expression" dxfId="20" priority="56">
      <formula>$AT6="WGS Bulk Tumour"</formula>
    </cfRule>
  </conditionalFormatting>
  <conditionalFormatting sqref="AX6:AX100">
    <cfRule type="expression" dxfId="19" priority="34">
      <formula>$AW6="Microdissect"</formula>
    </cfRule>
  </conditionalFormatting>
  <conditionalFormatting sqref="AX6">
    <cfRule type="expression" dxfId="18" priority="106">
      <formula>$Y7="Storage Only"</formula>
    </cfRule>
  </conditionalFormatting>
  <conditionalFormatting sqref="AX6">
    <cfRule type="expression" dxfId="17" priority="108">
      <formula>$AT7="IF"</formula>
    </cfRule>
  </conditionalFormatting>
  <conditionalFormatting sqref="AX6">
    <cfRule type="expression" dxfId="16" priority="110">
      <formula>$AT7="Storage Only"</formula>
    </cfRule>
  </conditionalFormatting>
  <conditionalFormatting sqref="AX6">
    <cfRule type="expression" dxfId="15" priority="114">
      <formula>$T7="Single Cell Suspension"</formula>
    </cfRule>
  </conditionalFormatting>
  <conditionalFormatting sqref="AX6:AX100 BA6 BA6:BC100">
    <cfRule type="expression" dxfId="14" priority="28">
      <formula>$AW6="Curls"</formula>
    </cfRule>
  </conditionalFormatting>
  <conditionalFormatting sqref="AQ6:BN100">
    <cfRule type="expression" dxfId="13" priority="31">
      <formula>$T6="Single Cell Suspensions"</formula>
    </cfRule>
  </conditionalFormatting>
  <conditionalFormatting sqref="BD6:BK100">
    <cfRule type="expression" dxfId="12" priority="46">
      <formula>$T6="FFPE Block"</formula>
    </cfRule>
  </conditionalFormatting>
  <conditionalFormatting sqref="Z6:BN100">
    <cfRule type="expression" dxfId="11" priority="74">
      <formula>$Y6="Storage Only"</formula>
    </cfRule>
  </conditionalFormatting>
  <conditionalFormatting sqref="AQ6:BO100">
    <cfRule type="expression" dxfId="10" priority="48">
      <formula>$AE6="DLP"</formula>
    </cfRule>
  </conditionalFormatting>
  <conditionalFormatting sqref="BX6:CA100">
    <cfRule type="expression" dxfId="9" priority="6">
      <formula>$BQ6="IGO"</formula>
    </cfRule>
    <cfRule type="expression" dxfId="8" priority="10">
      <formula>$BQ6="BCCRC"</formula>
    </cfRule>
  </conditionalFormatting>
  <conditionalFormatting sqref="BX13:CA13">
    <cfRule type="notContainsBlanks" dxfId="7" priority="8">
      <formula>LEN(TRIM(BX13))&gt;0</formula>
    </cfRule>
  </conditionalFormatting>
  <conditionalFormatting sqref="BO6:CA100">
    <cfRule type="expression" dxfId="6" priority="2">
      <formula>$T5="FFPE Block"</formula>
    </cfRule>
    <cfRule type="expression" dxfId="5" priority="25">
      <formula>$AT6 = "Storage Only"</formula>
    </cfRule>
  </conditionalFormatting>
  <conditionalFormatting sqref="BP6:BQ100">
    <cfRule type="expression" dxfId="4" priority="26">
      <formula>$AE6 = "DLP"</formula>
    </cfRule>
  </conditionalFormatting>
  <conditionalFormatting sqref="BR6:BW100">
    <cfRule type="expression" dxfId="3" priority="7">
      <formula>$BQ6="IGO"</formula>
    </cfRule>
    <cfRule type="expression" dxfId="2" priority="18">
      <formula>$BQ6="BCCRC"</formula>
    </cfRule>
  </conditionalFormatting>
  <conditionalFormatting sqref="AQ6:CA100">
    <cfRule type="expression" dxfId="1" priority="12">
      <formula>$AE6="scRNA Sequencing"</formula>
    </cfRule>
  </conditionalFormatting>
  <conditionalFormatting sqref="BL6:CA100">
    <cfRule type="expression" dxfId="0" priority="39">
      <formula>$AT6="WGS Bulk Tumour"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BQ6:BQ100 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  <x14:dataValidation type="list" allowBlank="1" showInputMessage="1" showErrorMessage="1" xr:uid="{8CCD9231-B5C5-3245-925B-32537BF07347}">
          <x14:formula1>
            <xm:f>Validations!$H$3:$H$12</xm:f>
          </x14:formula1>
          <xm:sqref>M5</xm:sqref>
        </x14:dataValidation>
        <x14:dataValidation type="list" allowBlank="1" showInputMessage="1" showErrorMessage="1" xr:uid="{D39B4CB5-C986-4D43-8B45-77FF79D471E5}">
          <x14:formula1>
            <xm:f>Validations!$H$3:$H$13</xm:f>
          </x14:formula1>
          <xm:sqref>M6:M100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C1" workbookViewId="0">
      <selection activeCell="H3" sqref="H3:H1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207</v>
      </c>
      <c r="R2" s="3" t="s">
        <v>241</v>
      </c>
      <c r="S2" s="3" t="s">
        <v>28</v>
      </c>
      <c r="T2" s="3" t="s">
        <v>29</v>
      </c>
      <c r="U2" s="3" t="s">
        <v>34</v>
      </c>
      <c r="V2" s="3" t="s">
        <v>258</v>
      </c>
      <c r="W2" s="3" t="s">
        <v>40</v>
      </c>
      <c r="X2" s="3" t="s">
        <v>232</v>
      </c>
      <c r="Y2" s="3" t="s">
        <v>279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287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209</v>
      </c>
      <c r="R3" s="1" t="s">
        <v>289</v>
      </c>
      <c r="S3" s="1" t="s">
        <v>205</v>
      </c>
      <c r="T3" s="1" t="s">
        <v>206</v>
      </c>
      <c r="U3" s="1" t="s">
        <v>168</v>
      </c>
      <c r="V3" s="1" t="s">
        <v>259</v>
      </c>
      <c r="W3" s="1" t="s">
        <v>203</v>
      </c>
      <c r="X3" s="1" t="s">
        <v>233</v>
      </c>
      <c r="Y3" s="1" t="s">
        <v>280</v>
      </c>
    </row>
    <row r="4" spans="1:26" x14ac:dyDescent="0.2">
      <c r="B4" s="1" t="s">
        <v>55</v>
      </c>
      <c r="C4" s="1" t="s">
        <v>235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288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208</v>
      </c>
      <c r="R4" s="1" t="s">
        <v>290</v>
      </c>
      <c r="S4" s="1" t="str">
        <f>" "</f>
        <v xml:space="preserve"> </v>
      </c>
      <c r="T4" s="1" t="s">
        <v>239</v>
      </c>
      <c r="U4" s="1" t="s">
        <v>167</v>
      </c>
      <c r="V4" s="1" t="s">
        <v>260</v>
      </c>
      <c r="W4" s="1" t="s">
        <v>204</v>
      </c>
      <c r="X4" s="1" t="s">
        <v>190</v>
      </c>
      <c r="Y4" s="1" t="s">
        <v>281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K5" s="1" t="s">
        <v>188</v>
      </c>
      <c r="L5" s="1" t="s">
        <v>190</v>
      </c>
      <c r="N5" s="1" t="s">
        <v>196</v>
      </c>
      <c r="O5" s="1" t="s">
        <v>200</v>
      </c>
      <c r="T5" s="1" t="s">
        <v>240</v>
      </c>
      <c r="W5" s="1" t="s">
        <v>210</v>
      </c>
      <c r="X5" s="1" t="s">
        <v>283</v>
      </c>
      <c r="Y5" s="1" t="s">
        <v>282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291</v>
      </c>
      <c r="I10" s="1" t="s">
        <v>184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176</v>
      </c>
      <c r="I11" s="1" t="s">
        <v>185</v>
      </c>
    </row>
    <row r="12" spans="1:26" x14ac:dyDescent="0.2">
      <c r="B12" s="1" t="s">
        <v>63</v>
      </c>
      <c r="F12" s="1">
        <v>10</v>
      </c>
      <c r="H12" s="1" t="s">
        <v>177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243</v>
      </c>
    </row>
    <row r="104" spans="2:2" x14ac:dyDescent="0.2">
      <c r="B104" s="1" t="s">
        <v>244</v>
      </c>
    </row>
    <row r="105" spans="2:2" x14ac:dyDescent="0.2">
      <c r="B105" s="1" t="s">
        <v>245</v>
      </c>
    </row>
    <row r="106" spans="2:2" x14ac:dyDescent="0.2">
      <c r="B106" s="1" t="s">
        <v>246</v>
      </c>
    </row>
    <row r="107" spans="2:2" x14ac:dyDescent="0.2">
      <c r="B107" s="1" t="s">
        <v>247</v>
      </c>
    </row>
    <row r="108" spans="2:2" x14ac:dyDescent="0.2">
      <c r="B108" s="1" t="s">
        <v>248</v>
      </c>
    </row>
    <row r="109" spans="2:2" x14ac:dyDescent="0.2">
      <c r="B109" s="1" t="s">
        <v>250</v>
      </c>
    </row>
    <row r="110" spans="2:2" x14ac:dyDescent="0.2">
      <c r="B110" s="1" t="s">
        <v>249</v>
      </c>
    </row>
    <row r="111" spans="2:2" x14ac:dyDescent="0.2">
      <c r="B111" s="1" t="s">
        <v>251</v>
      </c>
    </row>
    <row r="112" spans="2:2" x14ac:dyDescent="0.2">
      <c r="B112" s="1" t="s">
        <v>266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284</v>
      </c>
    </row>
    <row r="2" spans="1:79" x14ac:dyDescent="0.2">
      <c r="A2" s="42"/>
      <c r="B2" t="s">
        <v>285</v>
      </c>
    </row>
    <row r="3" spans="1:79" x14ac:dyDescent="0.2">
      <c r="A3" s="45" t="str">
        <f ca="1">IF($D3="", "", INDIRECT("$D6"))</f>
        <v/>
      </c>
      <c r="B3" t="s">
        <v>286</v>
      </c>
    </row>
    <row r="4" spans="1:79" x14ac:dyDescent="0.2">
      <c r="A4" s="52" t="s">
        <v>41</v>
      </c>
      <c r="B4" s="52"/>
      <c r="C4" s="52"/>
      <c r="D4" s="52"/>
      <c r="E4" s="52"/>
      <c r="F4" s="52" t="s">
        <v>42</v>
      </c>
      <c r="G4" s="52"/>
      <c r="H4" s="52"/>
      <c r="I4" s="52"/>
      <c r="J4" s="52"/>
      <c r="K4" s="52"/>
      <c r="L4" s="36" t="s">
        <v>43</v>
      </c>
      <c r="M4" s="52" t="s">
        <v>44</v>
      </c>
      <c r="N4" s="52"/>
      <c r="O4" s="36"/>
      <c r="P4" s="52" t="s">
        <v>45</v>
      </c>
      <c r="Q4" s="52"/>
      <c r="R4" s="52"/>
      <c r="S4" s="52"/>
      <c r="T4" s="52"/>
      <c r="U4" s="52" t="s">
        <v>46</v>
      </c>
      <c r="V4" s="52"/>
      <c r="W4" s="52"/>
      <c r="X4" s="52"/>
      <c r="Y4" s="52"/>
      <c r="Z4" s="36" t="s">
        <v>47</v>
      </c>
      <c r="AA4" s="52" t="s">
        <v>48</v>
      </c>
      <c r="AB4" s="52"/>
      <c r="AC4" s="52"/>
      <c r="AD4" s="52" t="s">
        <v>261</v>
      </c>
      <c r="AE4" s="52"/>
      <c r="AF4" s="52" t="s">
        <v>262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49</v>
      </c>
      <c r="AR4" s="52"/>
      <c r="AS4" s="52"/>
      <c r="AT4" s="52"/>
      <c r="AU4" s="52" t="s">
        <v>50</v>
      </c>
      <c r="AV4" s="52"/>
      <c r="AW4" s="36"/>
      <c r="AX4" s="36" t="s">
        <v>263</v>
      </c>
      <c r="AY4" s="52" t="s">
        <v>51</v>
      </c>
      <c r="AZ4" s="52"/>
      <c r="BA4" s="52" t="s">
        <v>52</v>
      </c>
      <c r="BB4" s="52"/>
      <c r="BC4" s="52" t="s">
        <v>214</v>
      </c>
      <c r="BD4" s="52"/>
      <c r="BE4" s="52"/>
      <c r="BF4" s="52"/>
      <c r="BG4" s="52"/>
      <c r="BH4" s="52"/>
      <c r="BI4" s="52"/>
      <c r="BJ4" s="52"/>
      <c r="BK4" s="52"/>
      <c r="BL4" s="52" t="s">
        <v>53</v>
      </c>
      <c r="BM4" s="52"/>
      <c r="BN4" s="52"/>
      <c r="BO4" s="36" t="s">
        <v>264</v>
      </c>
      <c r="BP4" s="52" t="s">
        <v>267</v>
      </c>
      <c r="BQ4" s="52"/>
      <c r="BR4" s="52" t="s">
        <v>272</v>
      </c>
      <c r="BS4" s="52"/>
      <c r="BT4" s="52"/>
      <c r="BU4" s="52"/>
      <c r="BV4" s="52"/>
      <c r="BW4" s="52"/>
      <c r="BX4" s="52" t="s">
        <v>277</v>
      </c>
      <c r="BY4" s="52"/>
      <c r="BZ4" s="52"/>
      <c r="CA4" s="52"/>
    </row>
    <row r="5" spans="1:79" x14ac:dyDescent="0.2">
      <c r="A5" s="37" t="s">
        <v>1</v>
      </c>
      <c r="B5" s="37" t="s">
        <v>212</v>
      </c>
      <c r="C5" s="37" t="s">
        <v>213</v>
      </c>
      <c r="D5" s="38" t="s">
        <v>0</v>
      </c>
      <c r="E5" s="38" t="s">
        <v>234</v>
      </c>
      <c r="F5" s="37" t="s">
        <v>2</v>
      </c>
      <c r="G5" s="38" t="s">
        <v>3</v>
      </c>
      <c r="H5" s="38" t="s">
        <v>265</v>
      </c>
      <c r="I5" s="38" t="s">
        <v>4</v>
      </c>
      <c r="J5" s="37" t="s">
        <v>5</v>
      </c>
      <c r="K5" s="38" t="s">
        <v>211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230</v>
      </c>
      <c r="AG5" s="37" t="s">
        <v>229</v>
      </c>
      <c r="AH5" s="37" t="s">
        <v>242</v>
      </c>
      <c r="AI5" s="37" t="s">
        <v>27</v>
      </c>
      <c r="AJ5" s="37" t="s">
        <v>228</v>
      </c>
      <c r="AK5" s="37" t="s">
        <v>227</v>
      </c>
      <c r="AL5" s="37" t="s">
        <v>226</v>
      </c>
      <c r="AM5" s="37" t="s">
        <v>225</v>
      </c>
      <c r="AN5" s="37" t="s">
        <v>224</v>
      </c>
      <c r="AO5" s="37" t="s">
        <v>223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232</v>
      </c>
      <c r="AU5" s="37" t="s">
        <v>33</v>
      </c>
      <c r="AV5" s="37" t="s">
        <v>34</v>
      </c>
      <c r="AW5" s="37" t="s">
        <v>258</v>
      </c>
      <c r="AX5" s="37" t="s">
        <v>257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215</v>
      </c>
      <c r="BD5" s="37" t="s">
        <v>222</v>
      </c>
      <c r="BE5" s="37" t="s">
        <v>221</v>
      </c>
      <c r="BF5" s="37" t="s">
        <v>220</v>
      </c>
      <c r="BG5" s="37" t="s">
        <v>219</v>
      </c>
      <c r="BH5" s="37" t="s">
        <v>278</v>
      </c>
      <c r="BI5" s="37" t="s">
        <v>218</v>
      </c>
      <c r="BJ5" s="37" t="s">
        <v>217</v>
      </c>
      <c r="BK5" s="37" t="s">
        <v>216</v>
      </c>
      <c r="BL5" s="37" t="s">
        <v>231</v>
      </c>
      <c r="BM5" s="37" t="s">
        <v>39</v>
      </c>
      <c r="BN5" s="37" t="s">
        <v>40</v>
      </c>
      <c r="BO5" s="37" t="s">
        <v>256</v>
      </c>
      <c r="BP5" s="37" t="s">
        <v>252</v>
      </c>
      <c r="BQ5" s="37" t="s">
        <v>253</v>
      </c>
      <c r="BR5" s="37" t="s">
        <v>254</v>
      </c>
      <c r="BS5" s="37" t="s">
        <v>255</v>
      </c>
      <c r="BT5" s="37" t="s">
        <v>268</v>
      </c>
      <c r="BU5" s="37" t="s">
        <v>269</v>
      </c>
      <c r="BV5" s="37" t="s">
        <v>270</v>
      </c>
      <c r="BW5" s="37" t="s">
        <v>271</v>
      </c>
      <c r="BX5" s="37" t="s">
        <v>273</v>
      </c>
      <c r="BY5" s="37" t="s">
        <v>274</v>
      </c>
      <c r="BZ5" s="37" t="s">
        <v>275</v>
      </c>
      <c r="CA5" s="37" t="s">
        <v>276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 t="shared" ref="BD6:BD23" si="3"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189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201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186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187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8" t="s">
        <v>283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8"/>
      <c r="AV17" s="46"/>
      <c r="AW17" s="8" t="s">
        <v>259</v>
      </c>
      <c r="AX17" s="39"/>
      <c r="AY17" s="8"/>
      <c r="AZ17" s="8"/>
      <c r="BA17" s="39"/>
      <c r="BB17" s="39"/>
      <c r="BC17" s="40"/>
      <c r="BD17" s="39" t="str">
        <f t="shared" si="3"/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8"/>
      <c r="AV18" s="46"/>
      <c r="AW18" s="8" t="s">
        <v>260</v>
      </c>
      <c r="AX18" s="8"/>
      <c r="AY18" s="39"/>
      <c r="AZ18" s="39"/>
      <c r="BA18" s="39"/>
      <c r="BB18" s="39"/>
      <c r="BC18" s="40"/>
      <c r="BD18" s="39" t="str">
        <f t="shared" si="3"/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8" t="s">
        <v>233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 t="shared" si="3"/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 t="shared" si="3"/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202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 t="shared" si="3"/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8"/>
      <c r="AV22" s="46"/>
      <c r="AW22" s="46"/>
      <c r="AX22" s="46"/>
      <c r="AY22" s="46"/>
      <c r="AZ22" s="46"/>
      <c r="BA22" s="46"/>
      <c r="BB22" s="46"/>
      <c r="BC22" s="48"/>
      <c r="BD22" s="46" t="str">
        <f t="shared" si="3"/>
        <v/>
      </c>
      <c r="BE22" s="46"/>
      <c r="BF22" s="46"/>
      <c r="BG22" s="46"/>
      <c r="BH22" s="46"/>
      <c r="BI22" s="46"/>
      <c r="BJ22" s="46"/>
      <c r="BK22" s="46"/>
      <c r="BL22" s="48"/>
      <c r="BM22" s="46"/>
      <c r="BN22" s="46"/>
      <c r="BO22" s="46"/>
      <c r="BP22" s="48"/>
      <c r="BQ22" s="8" t="s">
        <v>208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8"/>
      <c r="AV23" s="46"/>
      <c r="AW23" s="46"/>
      <c r="AX23" s="46"/>
      <c r="AY23" s="46"/>
      <c r="AZ23" s="46"/>
      <c r="BA23" s="46"/>
      <c r="BB23" s="46"/>
      <c r="BC23" s="48"/>
      <c r="BD23" s="46" t="str">
        <f t="shared" si="3"/>
        <v/>
      </c>
      <c r="BE23" s="46"/>
      <c r="BF23" s="46"/>
      <c r="BG23" s="46"/>
      <c r="BH23" s="46"/>
      <c r="BI23" s="46"/>
      <c r="BJ23" s="46"/>
      <c r="BK23" s="46"/>
      <c r="BL23" s="48"/>
      <c r="BM23" s="46"/>
      <c r="BN23" s="46"/>
      <c r="BO23" s="46"/>
      <c r="BP23" s="48"/>
      <c r="BQ23" s="8" t="s">
        <v>209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9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9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9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9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9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9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9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9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9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9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9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9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9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9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9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9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9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9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9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9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9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9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9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9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9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9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9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9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9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9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9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9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9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9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9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9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9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9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9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5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5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  <mergeCell ref="BC4:BK4"/>
    <mergeCell ref="BL4:BN4"/>
    <mergeCell ref="BP4:BQ4"/>
    <mergeCell ref="BR4:BW4"/>
    <mergeCell ref="BX4:CA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  <x14:dataValidation type="list" allowBlank="1" showInputMessage="1" showErrorMessage="1" xr:uid="{55891F9A-210C-8C49-B068-28763EA097D4}">
          <x14:formula1>
            <xm:f>Validations!$H$3:$H$13</xm:f>
          </x14:formula1>
          <xm:sqref>M6:M92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2020-06-25T17:23:16Z</dcterms:modified>
</cp:coreProperties>
</file>