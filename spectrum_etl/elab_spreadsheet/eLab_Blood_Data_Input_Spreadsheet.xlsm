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8FD0532F-92E6-5E4E-9676-0AE5C60D2983}" xr6:coauthVersionLast="45" xr6:coauthVersionMax="45" xr10:uidLastSave="{00000000-0000-0000-0000-000000000000}"/>
  <bookViews>
    <workbookView xWindow="5580" yWindow="46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7" i="1" l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6" i="1" l="1"/>
  <c r="G6" i="1" l="1"/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8" i="1"/>
  <c r="A23" i="1"/>
  <c r="A12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A10" i="1"/>
  <c r="A11" i="1"/>
  <c r="A9" i="1"/>
  <c r="A8" i="1"/>
  <c r="A7" i="1"/>
  <c r="A5" i="1" l="1"/>
  <c r="A6" i="1"/>
</calcChain>
</file>

<file path=xl/sharedStrings.xml><?xml version="1.0" encoding="utf-8"?>
<sst xmlns="http://schemas.openxmlformats.org/spreadsheetml/2006/main" count="331" uniqueCount="254">
  <si>
    <t>Patient ID</t>
  </si>
  <si>
    <t>Name</t>
  </si>
  <si>
    <t>Sequencing Technique</t>
  </si>
  <si>
    <t>Date of Submission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</si>
  <si>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</si>
  <si>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</si>
  <si>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</si>
  <si>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</si>
  <si>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</si>
  <si>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</si>
  <si>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</si>
  <si>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</si>
  <si>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</si>
  <si>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</si>
  <si>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</si>
  <si>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</si>
  <si>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</si>
  <si>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</si>
  <si>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</si>
  <si>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</si>
  <si>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</si>
  <si>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</si>
  <si>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</si>
  <si>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</si>
  <si>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</si>
  <si>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</si>
  <si>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</si>
  <si>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</si>
  <si>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</si>
  <si>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</si>
  <si>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</si>
  <si>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</si>
  <si>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</si>
  <si>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</si>
  <si>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</si>
  <si>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</si>
  <si>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</si>
  <si>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</si>
  <si>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</si>
  <si>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</si>
  <si>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</si>
  <si>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</si>
  <si>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</si>
  <si>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</si>
  <si>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</si>
  <si>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</si>
  <si>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</si>
  <si>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</si>
  <si>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</si>
  <si>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</si>
  <si>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</si>
  <si>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</si>
  <si>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</si>
  <si>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</si>
  <si>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</si>
  <si>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</si>
  <si>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</si>
  <si>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</si>
  <si>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</si>
  <si>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</si>
  <si>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</si>
  <si>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</si>
  <si>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</si>
  <si>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</si>
  <si>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</si>
  <si>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</si>
  <si>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</si>
  <si>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</si>
  <si>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</si>
  <si>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</si>
  <si>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</si>
  <si>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</si>
  <si>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</si>
  <si>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</si>
  <si>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</si>
  <si>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</si>
  <si>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</si>
  <si>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</si>
  <si>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</si>
  <si>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</si>
  <si>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</si>
  <si>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</si>
  <si>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</si>
  <si>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</si>
  <si>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</si>
  <si>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</si>
  <si>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</si>
  <si>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</si>
  <si>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</si>
  <si>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</si>
  <si>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</si>
  <si>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</si>
  <si>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</si>
  <si>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</si>
  <si>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</si>
  <si>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</si>
  <si>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</si>
  <si>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</si>
  <si>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</si>
  <si>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</si>
  <si>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</si>
  <si>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</si>
  <si>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</si>
  <si>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</si>
  <si>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</si>
  <si>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</si>
  <si>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</si>
  <si>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</si>
  <si>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</si>
  <si>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</si>
  <si>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</si>
  <si>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</si>
  <si>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</si>
  <si>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</si>
  <si>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</si>
  <si>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</si>
  <si>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</si>
  <si>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</si>
  <si>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</si>
  <si>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</si>
  <si>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</si>
  <si>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</si>
  <si>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</si>
  <si>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</si>
  <si>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</si>
  <si>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</si>
  <si>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</si>
  <si>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</si>
  <si>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</si>
  <si>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Lab Medicine Sample Info</t>
  </si>
  <si>
    <t>Lab Medicine Extraction Info</t>
  </si>
  <si>
    <t>IMF Processing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</si>
  <si>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</si>
  <si>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</si>
  <si>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</si>
  <si>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</si>
  <si>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</si>
  <si>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</si>
  <si>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</si>
  <si>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</si>
  <si>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</si>
  <si>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</si>
  <si>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</si>
  <si>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</si>
  <si>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</si>
  <si>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</si>
  <si>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</si>
  <si>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</si>
  <si>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</si>
  <si>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</si>
  <si>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</si>
  <si>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</si>
  <si>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</si>
  <si>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</si>
  <si>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</si>
  <si>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</si>
  <si>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</si>
  <si>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</si>
  <si>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</si>
  <si>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</si>
  <si>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</si>
  <si>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</si>
  <si>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</si>
  <si>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</si>
  <si>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</si>
  <si>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</si>
  <si>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</si>
  <si>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</si>
  <si>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</si>
  <si>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</si>
  <si>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</si>
  <si>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</si>
  <si>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Submission Indicator</t>
  </si>
  <si>
    <t>Study Protocol</t>
  </si>
  <si>
    <t>06-107, 12-245</t>
  </si>
  <si>
    <t>06-107, 12-245, 17-182</t>
  </si>
  <si>
    <t>IMPACT</t>
  </si>
  <si>
    <t>CMO Plate ID</t>
  </si>
  <si>
    <t>DMP Sample ID</t>
  </si>
  <si>
    <t>DMG WGS Process</t>
  </si>
  <si>
    <t>Date of Request from DMG</t>
  </si>
  <si>
    <t>Date of Transfer to CMO</t>
  </si>
  <si>
    <t>DMP Investigator Request Form</t>
  </si>
  <si>
    <t>Appendix C Form</t>
  </si>
  <si>
    <t>LM/IMF Sequencing Info</t>
  </si>
  <si>
    <t>mm-dd-yyyy</t>
  </si>
  <si>
    <t>RNA</t>
  </si>
  <si>
    <t>Library</t>
  </si>
  <si>
    <t>DNA</t>
  </si>
  <si>
    <t>EDTA</t>
  </si>
  <si>
    <t>IGO Submission ID - Sequencing</t>
  </si>
  <si>
    <t>IGO WGS Submission Form</t>
  </si>
  <si>
    <t>IGO ID - Sequencing</t>
  </si>
  <si>
    <t>IGO ID - Extraction</t>
  </si>
  <si>
    <t>IGO Submission ID - Extraction</t>
  </si>
  <si>
    <t>IMF Extraction Info</t>
  </si>
  <si>
    <t>Location of IMF Sample Extraction</t>
  </si>
  <si>
    <t>Date of IMF Sample Extraction</t>
  </si>
  <si>
    <t>IMF DNA Concentration (ng/ul)</t>
  </si>
  <si>
    <t>IMF Total Volume (ul)</t>
  </si>
  <si>
    <t>GYN Lab</t>
  </si>
  <si>
    <t>SPECTRUM-OV-101</t>
  </si>
  <si>
    <t>SPECTRUM-OV-102</t>
  </si>
  <si>
    <t>SPECTRUM-OV-103</t>
  </si>
  <si>
    <t>SPECTRUM-OV-104</t>
  </si>
  <si>
    <t>SPECTRUM-OV-105</t>
  </si>
  <si>
    <t>SPECTRUM-OV-106</t>
  </si>
  <si>
    <t>SPECTRUM-OV-107</t>
  </si>
  <si>
    <t>SPECTRUM-OV-108</t>
  </si>
  <si>
    <t>SPECTRUM-OV-109</t>
  </si>
  <si>
    <t>SPECTRUM-OV-110</t>
  </si>
  <si>
    <t>SPECTRUM-OV-111</t>
  </si>
  <si>
    <t>SPECTRUM-OV-112</t>
  </si>
  <si>
    <t>SPECTRUM-OV-113</t>
  </si>
  <si>
    <t>SPECTRUM-OV-114</t>
  </si>
  <si>
    <t>SPECTRUM-OV-115</t>
  </si>
  <si>
    <t>SPECTRUM-OV-116</t>
  </si>
  <si>
    <t>SPECTRUM-OV-117</t>
  </si>
  <si>
    <t>SPECTRUM-OV-118</t>
  </si>
  <si>
    <t>SPECTRUM-OV-119</t>
  </si>
  <si>
    <t>SPECTRUM-OV-120</t>
  </si>
  <si>
    <t>SPECTRUM-OV-121</t>
  </si>
  <si>
    <t>SPECTRUM-OV-122</t>
  </si>
  <si>
    <t>SPECTRUM-OV-123</t>
  </si>
  <si>
    <t>SPECTRUM-OV-124</t>
  </si>
  <si>
    <t>SPECTRUM-OV-125</t>
  </si>
  <si>
    <t>SPECTRUM-OV-126</t>
  </si>
  <si>
    <t>SPECTRUM-OV-127</t>
  </si>
  <si>
    <t>SPECTRUM-OV-128</t>
  </si>
  <si>
    <t>SPECTRUM-OV-129</t>
  </si>
  <si>
    <t>SPECTRUM-OV-130</t>
  </si>
  <si>
    <t>SPECTRUM-OV-131</t>
  </si>
  <si>
    <t>SPECTRUM-OV-132</t>
  </si>
  <si>
    <t>SPECTRUM-OV-133</t>
  </si>
  <si>
    <t>SPECTRUM-OV-134</t>
  </si>
  <si>
    <t>SPECTRUM-OV-135</t>
  </si>
  <si>
    <t>SPECTRUM-OV-136</t>
  </si>
  <si>
    <t>SPECTRUM-OV-137</t>
  </si>
  <si>
    <t>SPECTRUM-OV-138</t>
  </si>
  <si>
    <t>SPECTRUM-OV-139</t>
  </si>
  <si>
    <t>SPECTRUM-OV-140</t>
  </si>
  <si>
    <t>SPECTRUM-OV-141</t>
  </si>
  <si>
    <t>SPECTRUM-OV-142</t>
  </si>
  <si>
    <t>SPECTRUM-OV-143</t>
  </si>
  <si>
    <t>SPECTRUM-OV-144</t>
  </si>
  <si>
    <t>SPECTRUM-OV-145</t>
  </si>
  <si>
    <t>SPECTRUM-OV-146</t>
  </si>
  <si>
    <t>SPECTRUM-OV-147</t>
  </si>
  <si>
    <t>SPECTRUM-OV-148</t>
  </si>
  <si>
    <t>SPECTRUM-OV-149</t>
  </si>
  <si>
    <t>SPECTRUM-OV-150</t>
  </si>
  <si>
    <t>Project</t>
  </si>
  <si>
    <t>SPECTRUM</t>
  </si>
  <si>
    <t>17-182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</si>
</sst>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0" fillId="5" borderId="0" xfId="0" applyFill="1"/>
    <xf numFmtId="0" fontId="0" fillId="0" borderId="0" xfId="0" quotePrefix="1" applyAlignment="1">
      <alignment horizontal="right" vertical="center"/>
    </xf>
    <xf numFmtId="0" fontId="2" fillId="0" borderId="0" xfId="0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50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0</xdr:row>
          <xdr:rowOff>50800</xdr:rowOff>
        </xdr:from>
        <xdr:to>
          <xdr:col>5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V104"/>
  <sheetViews>
    <sheetView tabSelected="1" zoomScaleNormal="100" workbookViewId="0">
      <pane ySplit="4" topLeftCell="A6" activePane="bottomLeft" state="frozen"/>
      <selection activeCell="P1" sqref="P1"/>
      <selection pane="bottomLeft" activeCell="B13" sqref="B13"/>
    </sheetView>
  </sheetViews>
  <sheetFormatPr baseColWidth="10" defaultRowHeight="16" x14ac:dyDescent="0.2"/>
  <cols>
    <col min="1" max="1" width="18.1640625" style="2" bestFit="1" customWidth="1"/>
    <col min="2" max="4" width="18.1640625" style="2" customWidth="1"/>
    <col min="5" max="5" width="18.1640625" style="2" bestFit="1" customWidth="1"/>
    <col min="6" max="7" width="18.1640625" style="2" customWidth="1"/>
    <col min="8" max="8" width="15" style="2" bestFit="1" customWidth="1"/>
    <col min="9" max="9" width="18.5" style="2" bestFit="1" customWidth="1"/>
    <col min="10" max="10" width="14" style="2" bestFit="1" customWidth="1"/>
    <col min="11" max="11" width="12.33203125" style="2" bestFit="1" customWidth="1"/>
    <col min="12" max="12" width="14.1640625" style="2" hidden="1" customWidth="1"/>
    <col min="13" max="13" width="14.33203125" style="2" hidden="1" customWidth="1"/>
    <col min="14" max="14" width="31.1640625" style="2" hidden="1" customWidth="1"/>
    <col min="15" max="15" width="32.83203125" style="2" hidden="1" customWidth="1"/>
    <col min="16" max="16" width="16.5" style="2" hidden="1" customWidth="1"/>
    <col min="17" max="17" width="26.5" style="2" hidden="1" customWidth="1"/>
    <col min="18" max="18" width="17.6640625" style="2" hidden="1" customWidth="1"/>
    <col min="19" max="19" width="25.33203125" style="2" hidden="1" customWidth="1"/>
    <col min="20" max="20" width="19.83203125" style="2" hidden="1" customWidth="1"/>
    <col min="21" max="21" width="24.1640625" style="2" hidden="1" customWidth="1"/>
    <col min="22" max="22" width="17.83203125" style="22" hidden="1" customWidth="1"/>
    <col min="23" max="23" width="19.5" style="2" hidden="1" customWidth="1"/>
    <col min="24" max="24" width="15.1640625" style="2" hidden="1" customWidth="1"/>
    <col min="25" max="25" width="14.1640625" style="2" hidden="1" customWidth="1"/>
    <col min="26" max="26" width="24.1640625" style="2" hidden="1" customWidth="1"/>
    <col min="27" max="27" width="15.1640625" style="2" hidden="1" customWidth="1"/>
    <col min="28" max="28" width="28" style="2" hidden="1" customWidth="1"/>
    <col min="29" max="29" width="12.1640625" style="2" hidden="1" customWidth="1"/>
    <col min="30" max="30" width="21.6640625" style="2" hidden="1" customWidth="1"/>
    <col min="31" max="31" width="29.83203125" style="2" hidden="1" customWidth="1"/>
    <col min="32" max="32" width="27" style="2" hidden="1" customWidth="1"/>
    <col min="33" max="34" width="21.6640625" style="2" hidden="1" customWidth="1"/>
    <col min="35" max="35" width="20.1640625" style="2" hidden="1" customWidth="1"/>
    <col min="36" max="37" width="17.5" style="2" hidden="1" customWidth="1"/>
    <col min="38" max="38" width="18.5" style="2" hidden="1" customWidth="1"/>
    <col min="39" max="39" width="16.83203125" style="2" hidden="1" customWidth="1"/>
    <col min="40" max="40" width="27" style="2" hidden="1" customWidth="1"/>
    <col min="41" max="42" width="14" style="2" hidden="1" customWidth="1"/>
    <col min="43" max="43" width="28.33203125" style="2" hidden="1" customWidth="1"/>
    <col min="44" max="44" width="29.33203125" style="2" hidden="1" customWidth="1"/>
    <col min="45" max="46" width="13.33203125" style="2" hidden="1" customWidth="1"/>
    <col min="47" max="47" width="24.5" style="2" hidden="1" customWidth="1"/>
    <col min="48" max="48" width="24.83203125" style="2" hidden="1" customWidth="1"/>
    <col min="49" max="49" width="6.5" style="2" bestFit="1" customWidth="1"/>
    <col min="50" max="50" width="13.1640625" style="2" bestFit="1" customWidth="1"/>
    <col min="51" max="51" width="13" style="2" bestFit="1" customWidth="1"/>
    <col min="52" max="52" width="19.33203125" style="2" bestFit="1" customWidth="1"/>
    <col min="53" max="53" width="19.1640625" style="2" bestFit="1" customWidth="1"/>
    <col min="54" max="54" width="9.5" style="2" bestFit="1" customWidth="1"/>
    <col min="55" max="55" width="12" style="2" bestFit="1" customWidth="1"/>
    <col min="56" max="56" width="13" style="2" bestFit="1" customWidth="1"/>
    <col min="57" max="57" width="6" style="2" bestFit="1" customWidth="1"/>
    <col min="58" max="58" width="17.1640625" style="2" bestFit="1" customWidth="1"/>
    <col min="59" max="59" width="19" style="2" bestFit="1" customWidth="1"/>
    <col min="60" max="60" width="15.33203125" style="2" bestFit="1" customWidth="1"/>
    <col min="61" max="61" width="21.83203125" style="2" bestFit="1" customWidth="1"/>
    <col min="62" max="62" width="23.1640625" style="2" bestFit="1" customWidth="1"/>
    <col min="63" max="63" width="21.83203125" style="2" bestFit="1" customWidth="1"/>
    <col min="64" max="64" width="13.6640625" style="2" bestFit="1" customWidth="1"/>
    <col min="65" max="65" width="17.83203125" style="2" bestFit="1" customWidth="1"/>
    <col min="66" max="66" width="14.5" style="2" bestFit="1" customWidth="1"/>
    <col min="67" max="67" width="27" style="2" bestFit="1" customWidth="1"/>
    <col min="68" max="68" width="21.1640625" style="2" bestFit="1" customWidth="1"/>
    <col min="69" max="69" width="18.83203125" style="2" bestFit="1" customWidth="1"/>
    <col min="70" max="70" width="10.83203125" style="2"/>
    <col min="71" max="71" width="17" style="2" bestFit="1" customWidth="1"/>
    <col min="72" max="72" width="16.6640625" style="2" bestFit="1" customWidth="1"/>
    <col min="73" max="73" width="7.6640625" style="2" bestFit="1" customWidth="1"/>
    <col min="74" max="16384" width="10.83203125" style="2"/>
  </cols>
  <sheetData>
    <row r="3" spans="1:74" s="6" customFormat="1" x14ac:dyDescent="0.2">
      <c r="A3" s="36" t="s">
        <v>5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 t="s">
        <v>129</v>
      </c>
      <c r="M3" s="36"/>
      <c r="N3" s="36"/>
      <c r="O3" s="36"/>
      <c r="P3" s="36"/>
      <c r="Q3" s="36" t="s">
        <v>130</v>
      </c>
      <c r="R3" s="36"/>
      <c r="S3" s="36"/>
      <c r="T3" s="36"/>
      <c r="U3" s="36" t="s">
        <v>131</v>
      </c>
      <c r="V3" s="36"/>
      <c r="W3" s="36"/>
      <c r="X3" s="36"/>
      <c r="Y3" s="36" t="s">
        <v>179</v>
      </c>
      <c r="Z3" s="36"/>
      <c r="AA3" s="36"/>
      <c r="AB3" s="36"/>
      <c r="AC3" s="36"/>
      <c r="AD3" s="36"/>
      <c r="AE3" s="36" t="s">
        <v>195</v>
      </c>
      <c r="AF3" s="36"/>
      <c r="AG3" s="36"/>
      <c r="AH3" s="36"/>
      <c r="AI3" s="36" t="s">
        <v>156</v>
      </c>
      <c r="AJ3" s="36"/>
      <c r="AK3" s="36"/>
      <c r="AL3" s="36"/>
      <c r="AM3" s="36"/>
      <c r="AN3" s="36"/>
      <c r="AO3" s="36"/>
      <c r="AP3" s="36"/>
      <c r="AQ3" s="36" t="s">
        <v>132</v>
      </c>
      <c r="AR3" s="36"/>
      <c r="AS3" s="36"/>
      <c r="AT3" s="34"/>
      <c r="AU3" s="36" t="s">
        <v>133</v>
      </c>
      <c r="AV3" s="36"/>
      <c r="AW3" s="7"/>
      <c r="AX3" s="7"/>
      <c r="AY3" s="7"/>
      <c r="AZ3" s="7"/>
      <c r="BA3" s="7"/>
      <c r="BB3" s="7"/>
      <c r="BC3" s="7"/>
      <c r="BD3" s="7"/>
      <c r="BE3" s="8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8"/>
    </row>
    <row r="4" spans="1:74" s="5" customFormat="1" x14ac:dyDescent="0.2">
      <c r="A4" s="5" t="s">
        <v>1</v>
      </c>
      <c r="B4" s="5" t="s">
        <v>138</v>
      </c>
      <c r="C4" s="5" t="s">
        <v>139</v>
      </c>
      <c r="D4" s="11" t="s">
        <v>251</v>
      </c>
      <c r="E4" s="11" t="s">
        <v>0</v>
      </c>
      <c r="F4" s="11" t="s">
        <v>137</v>
      </c>
      <c r="G4" s="11" t="s">
        <v>173</v>
      </c>
      <c r="H4" s="11" t="s">
        <v>160</v>
      </c>
      <c r="I4" s="11" t="s">
        <v>109</v>
      </c>
      <c r="J4" s="11" t="s">
        <v>116</v>
      </c>
      <c r="K4" s="11" t="s">
        <v>112</v>
      </c>
      <c r="L4" s="5" t="s">
        <v>119</v>
      </c>
      <c r="M4" s="5" t="s">
        <v>120</v>
      </c>
      <c r="N4" s="5" t="s">
        <v>146</v>
      </c>
      <c r="O4" s="5" t="s">
        <v>136</v>
      </c>
      <c r="P4" s="5" t="s">
        <v>121</v>
      </c>
      <c r="Q4" s="5" t="s">
        <v>122</v>
      </c>
      <c r="R4" s="5" t="s">
        <v>123</v>
      </c>
      <c r="S4" s="5" t="s">
        <v>124</v>
      </c>
      <c r="T4" s="5" t="s">
        <v>125</v>
      </c>
      <c r="U4" s="5" t="s">
        <v>163</v>
      </c>
      <c r="V4" s="21" t="s">
        <v>161</v>
      </c>
      <c r="W4" s="5" t="s">
        <v>164</v>
      </c>
      <c r="X4" s="5" t="s">
        <v>152</v>
      </c>
      <c r="Y4" s="5" t="s">
        <v>178</v>
      </c>
      <c r="Z4" s="5" t="s">
        <v>180</v>
      </c>
      <c r="AA4" s="5" t="s">
        <v>183</v>
      </c>
      <c r="AB4" s="5" t="s">
        <v>182</v>
      </c>
      <c r="AC4" s="5" t="s">
        <v>177</v>
      </c>
      <c r="AD4" s="5" t="s">
        <v>181</v>
      </c>
      <c r="AE4" s="5" t="s">
        <v>196</v>
      </c>
      <c r="AF4" s="5" t="s">
        <v>197</v>
      </c>
      <c r="AG4" s="5" t="s">
        <v>198</v>
      </c>
      <c r="AH4" s="5" t="s">
        <v>199</v>
      </c>
      <c r="AI4" s="5" t="s">
        <v>2</v>
      </c>
      <c r="AJ4" s="5" t="s">
        <v>3</v>
      </c>
      <c r="AK4" s="5" t="s">
        <v>172</v>
      </c>
      <c r="AL4" s="5" t="s">
        <v>106</v>
      </c>
      <c r="AM4" s="5" t="s">
        <v>193</v>
      </c>
      <c r="AN4" s="5" t="s">
        <v>194</v>
      </c>
      <c r="AO4" s="5" t="s">
        <v>4</v>
      </c>
      <c r="AP4" s="5" t="s">
        <v>165</v>
      </c>
      <c r="AQ4" s="5" t="s">
        <v>141</v>
      </c>
      <c r="AR4" s="5" t="s">
        <v>127</v>
      </c>
      <c r="AS4" s="5" t="s">
        <v>149</v>
      </c>
      <c r="AT4" s="5" t="s">
        <v>192</v>
      </c>
      <c r="AU4" s="5" t="s">
        <v>190</v>
      </c>
      <c r="AV4" s="5" t="s">
        <v>128</v>
      </c>
    </row>
    <row r="5" spans="1:74" ht="16" hidden="1" customHeight="1" x14ac:dyDescent="0.2">
      <c r="A5" s="4" t="str">
        <f>E5</f>
        <v>SPECTRUM-OV-001</v>
      </c>
      <c r="B5" s="4"/>
      <c r="C5" s="4"/>
      <c r="D5" s="4"/>
      <c r="E5" s="2" t="s">
        <v>6</v>
      </c>
    </row>
    <row r="6" spans="1:74" x14ac:dyDescent="0.2">
      <c r="A6" s="9" t="str">
        <f ca="1">IF($E6="", "", INDIRECT("$D6"))</f>
        <v/>
      </c>
      <c r="B6" s="9"/>
      <c r="C6" s="10"/>
      <c r="D6" s="10"/>
      <c r="E6"/>
      <c r="F6" s="29"/>
      <c r="G6" s="31" t="str">
        <f t="shared" ref="G6:G70" si="0">IF($E6="", "", "06-107, 12-245")</f>
        <v/>
      </c>
      <c r="H6"/>
      <c r="J6" s="14" t="str">
        <f>IF($I6="Lab Medicine", "Streck", IF($I6="IMF", "CPT", IF($I6="IMPACT", "EDTA", "")))</f>
        <v/>
      </c>
      <c r="L6"/>
      <c r="M6"/>
      <c r="N6" s="26"/>
      <c r="O6" s="26"/>
      <c r="P6"/>
      <c r="Z6" s="22"/>
      <c r="AA6" s="12"/>
      <c r="AB6" s="12"/>
      <c r="AD6" s="22"/>
      <c r="AE6" s="22"/>
      <c r="AF6" s="22"/>
      <c r="AG6" s="22"/>
      <c r="AH6" s="22"/>
      <c r="AJ6" s="22"/>
      <c r="AK6" s="27"/>
      <c r="AO6"/>
      <c r="AQ6" s="12"/>
      <c r="AR6" s="12"/>
      <c r="AU6" s="30"/>
      <c r="AV6" s="12"/>
    </row>
    <row r="7" spans="1:74" x14ac:dyDescent="0.2">
      <c r="A7" s="9" t="str">
        <f ca="1">IF($E7="", "", INDIRECT("$D7"))</f>
        <v/>
      </c>
      <c r="B7" s="9"/>
      <c r="C7" s="10"/>
      <c r="D7" s="10"/>
      <c r="E7"/>
      <c r="F7" s="33"/>
      <c r="G7" s="31" t="str">
        <f t="shared" si="0"/>
        <v/>
      </c>
      <c r="H7"/>
      <c r="J7" s="14" t="str">
        <f t="shared" ref="J7:J70" si="1">IF($I7="Lab Medicine", "Streck", IF($I7="IMF", "CPT", IF($I7="IMPACT", "EDTA", "")))</f>
        <v/>
      </c>
      <c r="L7"/>
      <c r="M7"/>
      <c r="N7" s="26"/>
      <c r="O7" s="26"/>
      <c r="P7"/>
      <c r="AA7" s="12"/>
      <c r="AB7" s="12"/>
      <c r="AD7" s="22"/>
      <c r="AE7" s="22"/>
      <c r="AF7" s="22"/>
      <c r="AG7" s="22"/>
      <c r="AH7" s="22"/>
      <c r="AJ7" s="22"/>
      <c r="AK7" s="27"/>
      <c r="AO7"/>
      <c r="AQ7" s="12"/>
      <c r="AR7" s="12"/>
      <c r="AU7" s="30"/>
      <c r="AV7" s="12"/>
    </row>
    <row r="8" spans="1:74" x14ac:dyDescent="0.2">
      <c r="A8" s="9" t="str">
        <f ca="1">IF($E8="", "", INDIRECT("$D8"))</f>
        <v/>
      </c>
      <c r="B8" s="9"/>
      <c r="C8" s="10"/>
      <c r="D8" s="10"/>
      <c r="E8"/>
      <c r="F8" s="29"/>
      <c r="G8" s="31" t="str">
        <f t="shared" si="0"/>
        <v/>
      </c>
      <c r="H8"/>
      <c r="J8" s="14" t="str">
        <f t="shared" si="1"/>
        <v/>
      </c>
      <c r="L8"/>
      <c r="M8"/>
      <c r="N8" s="26"/>
      <c r="O8" s="26"/>
      <c r="P8"/>
      <c r="AA8" s="12"/>
      <c r="AB8" s="12"/>
      <c r="AD8" s="22"/>
      <c r="AE8" s="22"/>
      <c r="AF8" s="22"/>
      <c r="AG8" s="22"/>
      <c r="AH8" s="22"/>
      <c r="AJ8" s="22"/>
      <c r="AK8" s="27"/>
      <c r="AO8"/>
      <c r="AQ8" s="12"/>
      <c r="AR8" s="12"/>
      <c r="AU8" s="30"/>
      <c r="AV8" s="12"/>
    </row>
    <row r="9" spans="1:74" x14ac:dyDescent="0.2">
      <c r="A9" s="9" t="str">
        <f ca="1">IF($E9="", "", INDIRECT("$D9"))</f>
        <v/>
      </c>
      <c r="B9" s="9"/>
      <c r="C9" s="10"/>
      <c r="D9" s="10"/>
      <c r="E9"/>
      <c r="F9" s="29"/>
      <c r="G9" s="31" t="str">
        <f t="shared" si="0"/>
        <v/>
      </c>
      <c r="H9"/>
      <c r="J9" s="14" t="str">
        <f t="shared" si="1"/>
        <v/>
      </c>
      <c r="L9"/>
      <c r="M9"/>
      <c r="N9" s="26"/>
      <c r="O9" s="26"/>
      <c r="P9"/>
      <c r="AA9" s="12"/>
      <c r="AB9" s="12"/>
      <c r="AJ9" s="22"/>
      <c r="AK9" s="27"/>
      <c r="AN9"/>
      <c r="AO9"/>
      <c r="AQ9" s="12"/>
      <c r="AR9" s="12"/>
      <c r="AU9" s="30"/>
      <c r="AV9" s="12"/>
    </row>
    <row r="10" spans="1:74" x14ac:dyDescent="0.2">
      <c r="A10" s="9" t="str">
        <f ca="1">IF($E10="", "", INDIRECT("$D10"))</f>
        <v/>
      </c>
      <c r="B10" s="9"/>
      <c r="C10" s="10"/>
      <c r="D10" s="10"/>
      <c r="E10"/>
      <c r="F10"/>
      <c r="G10" s="31" t="str">
        <f t="shared" si="0"/>
        <v/>
      </c>
      <c r="H10"/>
      <c r="J10" s="14" t="str">
        <f t="shared" si="1"/>
        <v/>
      </c>
      <c r="L10"/>
      <c r="M10"/>
      <c r="N10" s="26"/>
      <c r="O10" s="26"/>
      <c r="P10"/>
      <c r="AA10" s="12"/>
      <c r="AB10" s="12"/>
      <c r="AJ10" s="22"/>
      <c r="AK10" s="27"/>
      <c r="AN10"/>
      <c r="AO10"/>
      <c r="AQ10" s="12"/>
      <c r="AR10" s="12"/>
      <c r="AU10" s="30"/>
      <c r="AV10" s="12"/>
    </row>
    <row r="11" spans="1:74" x14ac:dyDescent="0.2">
      <c r="A11" s="9" t="str">
        <f ca="1">IF($E11="", "", INDIRECT("$D11"))</f>
        <v/>
      </c>
      <c r="B11" s="9"/>
      <c r="C11" s="10"/>
      <c r="D11" s="10"/>
      <c r="E11"/>
      <c r="F11" s="28"/>
      <c r="G11" s="31" t="str">
        <f t="shared" si="0"/>
        <v/>
      </c>
      <c r="H11"/>
      <c r="J11" s="14" t="str">
        <f t="shared" si="1"/>
        <v/>
      </c>
      <c r="L11"/>
      <c r="M11"/>
      <c r="N11" s="26"/>
      <c r="O11" s="26"/>
      <c r="P11"/>
      <c r="AA11" s="12"/>
      <c r="AB11" s="12"/>
      <c r="AJ11" s="22"/>
      <c r="AK11" s="27"/>
      <c r="AN11"/>
      <c r="AO11"/>
      <c r="AQ11" s="12"/>
      <c r="AR11" s="12"/>
      <c r="AU11" s="30"/>
      <c r="AV11" s="12"/>
    </row>
    <row r="12" spans="1:74" x14ac:dyDescent="0.2">
      <c r="A12" s="9" t="str">
        <f ca="1">IF($E12="", "", INDIRECT("$D12"))</f>
        <v/>
      </c>
      <c r="B12" s="9"/>
      <c r="C12" s="10"/>
      <c r="D12" s="10"/>
      <c r="E12"/>
      <c r="F12"/>
      <c r="G12" s="31" t="str">
        <f t="shared" si="0"/>
        <v/>
      </c>
      <c r="H12"/>
      <c r="J12" s="14" t="str">
        <f t="shared" si="1"/>
        <v/>
      </c>
      <c r="L12"/>
      <c r="M12"/>
      <c r="N12" s="26"/>
      <c r="O12" s="26"/>
      <c r="P12"/>
      <c r="AA12" s="12"/>
      <c r="AB12" s="12"/>
      <c r="AJ12" s="22"/>
      <c r="AK12" s="27"/>
      <c r="AQ12" s="12"/>
      <c r="AR12" s="12"/>
      <c r="AU12" s="30"/>
      <c r="AV12" s="12"/>
    </row>
    <row r="13" spans="1:74" x14ac:dyDescent="0.2">
      <c r="A13" s="9" t="str">
        <f ca="1">IF($E13="", "", INDIRECT("$D13"))</f>
        <v/>
      </c>
      <c r="B13" s="9"/>
      <c r="C13" s="10"/>
      <c r="D13" s="10"/>
      <c r="E13"/>
      <c r="F13"/>
      <c r="G13" s="31" t="str">
        <f t="shared" si="0"/>
        <v/>
      </c>
      <c r="H13"/>
      <c r="J13" s="14" t="str">
        <f t="shared" si="1"/>
        <v/>
      </c>
      <c r="L13"/>
      <c r="M13"/>
      <c r="N13" s="26"/>
      <c r="O13" s="26"/>
      <c r="P13"/>
      <c r="AA13" s="12"/>
      <c r="AB13" s="12"/>
      <c r="AJ13" s="22"/>
      <c r="AK13" s="27"/>
      <c r="AQ13" s="12"/>
      <c r="AR13" s="12"/>
      <c r="AU13" s="30"/>
      <c r="AV13" s="12"/>
    </row>
    <row r="14" spans="1:74" x14ac:dyDescent="0.2">
      <c r="A14" s="9" t="str">
        <f ca="1">IF($E14="", "", INDIRECT("$D14"))</f>
        <v/>
      </c>
      <c r="B14" s="9"/>
      <c r="C14" s="10"/>
      <c r="D14" s="10"/>
      <c r="E14"/>
      <c r="F14"/>
      <c r="G14" s="31" t="str">
        <f t="shared" si="0"/>
        <v/>
      </c>
      <c r="H14"/>
      <c r="J14" s="14" t="str">
        <f t="shared" si="1"/>
        <v/>
      </c>
      <c r="L14"/>
      <c r="M14"/>
      <c r="N14" s="26"/>
      <c r="O14" s="26"/>
      <c r="P14"/>
      <c r="AA14" s="12"/>
      <c r="AB14" s="12"/>
      <c r="AJ14" s="22"/>
      <c r="AK14" s="27"/>
      <c r="AQ14" s="12"/>
      <c r="AR14" s="12"/>
      <c r="AU14" s="30"/>
      <c r="AV14" s="12"/>
    </row>
    <row r="15" spans="1:74" x14ac:dyDescent="0.2">
      <c r="A15" s="9" t="str">
        <f ca="1">IF($E15="", "", INDIRECT("$D15"))</f>
        <v/>
      </c>
      <c r="B15" s="9"/>
      <c r="C15" s="10"/>
      <c r="D15" s="10"/>
      <c r="E15"/>
      <c r="F15"/>
      <c r="G15" s="31" t="str">
        <f t="shared" si="0"/>
        <v/>
      </c>
      <c r="H15"/>
      <c r="J15" s="14" t="str">
        <f t="shared" si="1"/>
        <v/>
      </c>
      <c r="L15"/>
      <c r="M15"/>
      <c r="N15" s="26"/>
      <c r="O15" s="26"/>
      <c r="P15"/>
      <c r="AA15" s="12"/>
      <c r="AB15" s="12"/>
      <c r="AJ15" s="22"/>
      <c r="AK15" s="27"/>
      <c r="AQ15" s="12"/>
      <c r="AR15" s="12"/>
      <c r="AU15" s="30"/>
      <c r="AV15" s="12"/>
    </row>
    <row r="16" spans="1:74" x14ac:dyDescent="0.2">
      <c r="A16" s="9" t="str">
        <f ca="1">IF($E16="", "", INDIRECT("$D16"))</f>
        <v/>
      </c>
      <c r="B16" s="9"/>
      <c r="C16" s="10"/>
      <c r="D16" s="10"/>
      <c r="E16"/>
      <c r="F16"/>
      <c r="G16" s="31" t="str">
        <f t="shared" si="0"/>
        <v/>
      </c>
      <c r="H16"/>
      <c r="J16" s="14" t="str">
        <f t="shared" si="1"/>
        <v/>
      </c>
      <c r="L16"/>
      <c r="M16"/>
      <c r="N16" s="26"/>
      <c r="O16" s="26"/>
      <c r="P16"/>
      <c r="AA16" s="12"/>
      <c r="AB16" s="12"/>
      <c r="AJ16" s="22"/>
      <c r="AK16" s="27"/>
      <c r="AQ16" s="12"/>
      <c r="AR16" s="12"/>
      <c r="AU16" s="30"/>
      <c r="AV16" s="12"/>
    </row>
    <row r="17" spans="1:48" x14ac:dyDescent="0.2">
      <c r="A17" s="9" t="str">
        <f ca="1">IF($E17="", "", INDIRECT("$D17"))</f>
        <v/>
      </c>
      <c r="B17" s="9"/>
      <c r="C17" s="10"/>
      <c r="D17" s="10"/>
      <c r="E17"/>
      <c r="F17" s="25"/>
      <c r="G17" s="31" t="str">
        <f t="shared" si="0"/>
        <v/>
      </c>
      <c r="H17"/>
      <c r="J17" s="14" t="str">
        <f t="shared" si="1"/>
        <v/>
      </c>
      <c r="L17"/>
      <c r="M17"/>
      <c r="N17" s="26"/>
      <c r="O17" s="26"/>
      <c r="P17"/>
      <c r="AA17" s="12"/>
      <c r="AB17" s="12"/>
      <c r="AJ17" s="22"/>
      <c r="AK17" s="27"/>
      <c r="AQ17" s="12"/>
      <c r="AR17" s="12"/>
      <c r="AU17" s="30"/>
      <c r="AV17" s="12"/>
    </row>
    <row r="18" spans="1:48" x14ac:dyDescent="0.2">
      <c r="A18" s="9" t="str">
        <f ca="1">IF($E18="", "", INDIRECT("$D18"))</f>
        <v/>
      </c>
      <c r="B18" s="9"/>
      <c r="C18" s="10"/>
      <c r="D18" s="10"/>
      <c r="E18"/>
      <c r="F18"/>
      <c r="G18" s="31" t="str">
        <f t="shared" si="0"/>
        <v/>
      </c>
      <c r="H18"/>
      <c r="J18" s="14" t="str">
        <f t="shared" si="1"/>
        <v/>
      </c>
      <c r="L18"/>
      <c r="M18"/>
      <c r="N18" s="26"/>
      <c r="O18" s="26"/>
      <c r="P18"/>
      <c r="AA18" s="12"/>
      <c r="AB18" s="12"/>
      <c r="AJ18" s="22"/>
      <c r="AK18" s="27"/>
      <c r="AQ18" s="12"/>
      <c r="AR18" s="12"/>
      <c r="AU18" s="30"/>
      <c r="AV18" s="12"/>
    </row>
    <row r="19" spans="1:48" x14ac:dyDescent="0.2">
      <c r="A19" s="9" t="str">
        <f ca="1">IF($E19="", "", INDIRECT("$D19"))</f>
        <v/>
      </c>
      <c r="B19" s="9"/>
      <c r="C19" s="10"/>
      <c r="D19" s="10"/>
      <c r="E19"/>
      <c r="F19"/>
      <c r="G19" s="31" t="str">
        <f t="shared" si="0"/>
        <v/>
      </c>
      <c r="H19"/>
      <c r="J19" s="14" t="str">
        <f t="shared" si="1"/>
        <v/>
      </c>
      <c r="L19"/>
      <c r="M19"/>
      <c r="N19" s="26"/>
      <c r="O19" s="26"/>
      <c r="P19"/>
      <c r="AA19" s="12"/>
      <c r="AB19" s="12"/>
      <c r="AJ19" s="22"/>
      <c r="AK19" s="27"/>
      <c r="AQ19" s="12"/>
      <c r="AR19" s="12"/>
      <c r="AU19" s="30"/>
      <c r="AV19" s="12"/>
    </row>
    <row r="20" spans="1:48" x14ac:dyDescent="0.2">
      <c r="A20" s="9" t="str">
        <f ca="1">IF($E20="", "", INDIRECT("$D20"))</f>
        <v/>
      </c>
      <c r="B20" s="9"/>
      <c r="C20" s="10"/>
      <c r="D20" s="10"/>
      <c r="E20"/>
      <c r="F20"/>
      <c r="G20" s="31" t="str">
        <f t="shared" si="0"/>
        <v/>
      </c>
      <c r="H20"/>
      <c r="J20" s="14" t="str">
        <f t="shared" si="1"/>
        <v/>
      </c>
      <c r="L20"/>
      <c r="M20"/>
      <c r="N20" s="26"/>
      <c r="O20" s="26"/>
      <c r="P20"/>
      <c r="AA20" s="12"/>
      <c r="AB20" s="12"/>
      <c r="AJ20" s="22"/>
      <c r="AK20" s="27"/>
      <c r="AQ20" s="12"/>
      <c r="AR20" s="12"/>
      <c r="AU20" s="30"/>
      <c r="AV20" s="12"/>
    </row>
    <row r="21" spans="1:48" x14ac:dyDescent="0.2">
      <c r="A21" s="9" t="str">
        <f ca="1">IF($E21="", "", INDIRECT("$D21"))</f>
        <v/>
      </c>
      <c r="B21" s="9"/>
      <c r="C21" s="10"/>
      <c r="D21" s="10"/>
      <c r="E21"/>
      <c r="F21"/>
      <c r="G21" s="31" t="str">
        <f t="shared" si="0"/>
        <v/>
      </c>
      <c r="H21"/>
      <c r="J21" s="14" t="str">
        <f t="shared" si="1"/>
        <v/>
      </c>
      <c r="L21"/>
      <c r="M21"/>
      <c r="N21" s="26"/>
      <c r="O21" s="26"/>
      <c r="P21"/>
      <c r="AA21" s="12"/>
      <c r="AB21" s="12"/>
      <c r="AJ21" s="22"/>
      <c r="AK21" s="27"/>
      <c r="AQ21" s="12"/>
      <c r="AR21" s="12"/>
      <c r="AU21" s="30"/>
      <c r="AV21" s="12"/>
    </row>
    <row r="22" spans="1:48" x14ac:dyDescent="0.2">
      <c r="A22" s="9" t="str">
        <f ca="1">IF($E22="", "", INDIRECT("$D22"))</f>
        <v/>
      </c>
      <c r="B22" s="9"/>
      <c r="C22" s="10"/>
      <c r="D22" s="10"/>
      <c r="E22"/>
      <c r="F22"/>
      <c r="G22" s="31" t="str">
        <f t="shared" si="0"/>
        <v/>
      </c>
      <c r="H22"/>
      <c r="J22" s="14" t="str">
        <f t="shared" si="1"/>
        <v/>
      </c>
      <c r="L22"/>
      <c r="M22"/>
      <c r="N22" s="26"/>
      <c r="O22" s="26"/>
      <c r="P22"/>
      <c r="AA22" s="12"/>
      <c r="AB22" s="12"/>
      <c r="AJ22" s="22"/>
      <c r="AK22" s="27"/>
      <c r="AQ22" s="12"/>
      <c r="AR22" s="12"/>
      <c r="AU22" s="30"/>
      <c r="AV22" s="12"/>
    </row>
    <row r="23" spans="1:48" x14ac:dyDescent="0.2">
      <c r="A23" s="9" t="str">
        <f ca="1">IF($E23="", "", INDIRECT("$D23"))</f>
        <v/>
      </c>
      <c r="B23" s="9"/>
      <c r="C23" s="10"/>
      <c r="D23" s="10"/>
      <c r="E23"/>
      <c r="F23"/>
      <c r="G23" s="31" t="str">
        <f t="shared" si="0"/>
        <v/>
      </c>
      <c r="H23"/>
      <c r="J23" s="14" t="str">
        <f t="shared" si="1"/>
        <v/>
      </c>
      <c r="L23"/>
      <c r="M23"/>
      <c r="N23" s="26"/>
      <c r="O23" s="26"/>
      <c r="P23"/>
      <c r="AA23" s="12"/>
      <c r="AB23" s="12"/>
      <c r="AJ23" s="22"/>
      <c r="AK23" s="27"/>
      <c r="AQ23" s="12"/>
      <c r="AR23" s="12"/>
      <c r="AU23" s="30"/>
      <c r="AV23" s="12"/>
    </row>
    <row r="24" spans="1:48" x14ac:dyDescent="0.2">
      <c r="A24" s="9" t="str">
        <f ca="1">IF($E24="", "", INDIRECT("$D24"))</f>
        <v/>
      </c>
      <c r="B24" s="9"/>
      <c r="C24" s="10"/>
      <c r="D24" s="10"/>
      <c r="E24"/>
      <c r="F24"/>
      <c r="G24" s="31" t="str">
        <f t="shared" si="0"/>
        <v/>
      </c>
      <c r="H24"/>
      <c r="J24" s="14" t="str">
        <f t="shared" si="1"/>
        <v/>
      </c>
      <c r="L24"/>
      <c r="M24"/>
      <c r="N24" s="26"/>
      <c r="O24" s="26"/>
      <c r="P24"/>
      <c r="AA24" s="12"/>
      <c r="AB24" s="12"/>
      <c r="AJ24" s="22"/>
      <c r="AK24" s="27"/>
      <c r="AQ24" s="12"/>
      <c r="AR24" s="12"/>
      <c r="AU24" s="30"/>
      <c r="AV24" s="12"/>
    </row>
    <row r="25" spans="1:48" x14ac:dyDescent="0.2">
      <c r="A25" s="9" t="str">
        <f ca="1">IF($E25="", "", INDIRECT("$D25"))</f>
        <v/>
      </c>
      <c r="B25" s="9"/>
      <c r="C25" s="10"/>
      <c r="D25" s="10"/>
      <c r="E25"/>
      <c r="F25"/>
      <c r="G25" s="31" t="str">
        <f t="shared" si="0"/>
        <v/>
      </c>
      <c r="H25"/>
      <c r="J25" s="14" t="str">
        <f t="shared" si="1"/>
        <v/>
      </c>
      <c r="L25"/>
      <c r="M25"/>
      <c r="N25" s="26"/>
      <c r="O25" s="26"/>
      <c r="P25"/>
      <c r="AA25" s="12"/>
      <c r="AB25" s="12"/>
      <c r="AJ25" s="22"/>
      <c r="AK25" s="27"/>
      <c r="AQ25" s="12"/>
      <c r="AR25" s="12"/>
      <c r="AU25" s="30"/>
      <c r="AV25" s="12"/>
    </row>
    <row r="26" spans="1:48" x14ac:dyDescent="0.2">
      <c r="A26" s="9" t="str">
        <f ca="1">IF($E26="", "", INDIRECT("$D26"))</f>
        <v/>
      </c>
      <c r="B26" s="9"/>
      <c r="C26" s="10"/>
      <c r="D26" s="10"/>
      <c r="E26"/>
      <c r="F26"/>
      <c r="G26" s="31" t="str">
        <f t="shared" si="0"/>
        <v/>
      </c>
      <c r="H26"/>
      <c r="J26" s="14" t="str">
        <f t="shared" si="1"/>
        <v/>
      </c>
      <c r="L26"/>
      <c r="M26"/>
      <c r="N26" s="26"/>
      <c r="O26" s="26"/>
      <c r="P26"/>
      <c r="AA26" s="12"/>
      <c r="AB26" s="12"/>
      <c r="AJ26" s="22"/>
      <c r="AK26" s="27"/>
      <c r="AQ26" s="12"/>
      <c r="AR26" s="12"/>
      <c r="AU26" s="30"/>
      <c r="AV26" s="12"/>
    </row>
    <row r="27" spans="1:48" x14ac:dyDescent="0.2">
      <c r="A27" s="9" t="str">
        <f ca="1">IF($E27="", "", INDIRECT("$D27"))</f>
        <v/>
      </c>
      <c r="B27" s="9"/>
      <c r="C27" s="10"/>
      <c r="D27" s="10"/>
      <c r="E27"/>
      <c r="F27"/>
      <c r="G27" s="31" t="str">
        <f t="shared" si="0"/>
        <v/>
      </c>
      <c r="H27"/>
      <c r="J27" s="14" t="str">
        <f t="shared" si="1"/>
        <v/>
      </c>
      <c r="L27"/>
      <c r="M27"/>
      <c r="N27" s="26"/>
      <c r="O27" s="26"/>
      <c r="P27"/>
      <c r="AA27" s="12"/>
      <c r="AB27" s="12"/>
      <c r="AJ27" s="22"/>
      <c r="AK27" s="27"/>
      <c r="AQ27" s="12"/>
      <c r="AR27" s="12"/>
      <c r="AU27" s="30"/>
      <c r="AV27" s="12"/>
    </row>
    <row r="28" spans="1:48" x14ac:dyDescent="0.2">
      <c r="A28" s="9" t="str">
        <f ca="1">IF($E28="", "", INDIRECT("$D28"))</f>
        <v/>
      </c>
      <c r="B28" s="9"/>
      <c r="C28" s="10"/>
      <c r="D28" s="10"/>
      <c r="E28"/>
      <c r="F28"/>
      <c r="G28" s="31" t="str">
        <f t="shared" si="0"/>
        <v/>
      </c>
      <c r="H28"/>
      <c r="J28" s="14" t="str">
        <f t="shared" si="1"/>
        <v/>
      </c>
      <c r="L28"/>
      <c r="M28"/>
      <c r="N28" s="26"/>
      <c r="O28" s="26"/>
      <c r="P28"/>
      <c r="AA28" s="12"/>
      <c r="AB28" s="12"/>
      <c r="AJ28" s="22"/>
      <c r="AK28" s="27"/>
      <c r="AQ28" s="12"/>
      <c r="AR28" s="12"/>
      <c r="AU28" s="30"/>
      <c r="AV28" s="12"/>
    </row>
    <row r="29" spans="1:48" x14ac:dyDescent="0.2">
      <c r="A29" s="9" t="str">
        <f ca="1">IF($E29="", "", INDIRECT("$D29"))</f>
        <v/>
      </c>
      <c r="B29" s="9"/>
      <c r="C29" s="10"/>
      <c r="D29" s="10"/>
      <c r="E29"/>
      <c r="F29"/>
      <c r="G29" s="31" t="str">
        <f t="shared" si="0"/>
        <v/>
      </c>
      <c r="H29"/>
      <c r="J29" s="14" t="str">
        <f t="shared" si="1"/>
        <v/>
      </c>
      <c r="L29"/>
      <c r="M29"/>
      <c r="N29" s="26"/>
      <c r="O29" s="26"/>
      <c r="P29"/>
      <c r="AA29" s="12"/>
      <c r="AB29" s="12"/>
      <c r="AJ29" s="22"/>
      <c r="AK29" s="27"/>
      <c r="AQ29" s="12"/>
      <c r="AR29" s="12"/>
      <c r="AU29" s="30"/>
      <c r="AV29" s="12"/>
    </row>
    <row r="30" spans="1:48" x14ac:dyDescent="0.2">
      <c r="A30" s="9" t="str">
        <f ca="1">IF($E30="", "", INDIRECT("$D30"))</f>
        <v/>
      </c>
      <c r="B30" s="9"/>
      <c r="C30" s="10"/>
      <c r="D30" s="10"/>
      <c r="E30"/>
      <c r="F30"/>
      <c r="G30" s="31" t="str">
        <f t="shared" si="0"/>
        <v/>
      </c>
      <c r="H30"/>
      <c r="J30" s="14" t="str">
        <f t="shared" si="1"/>
        <v/>
      </c>
      <c r="L30"/>
      <c r="M30"/>
      <c r="N30" s="26"/>
      <c r="O30" s="26"/>
      <c r="P30"/>
      <c r="AA30" s="12"/>
      <c r="AB30" s="12"/>
      <c r="AJ30" s="22"/>
      <c r="AK30" s="27"/>
      <c r="AQ30" s="12"/>
      <c r="AR30" s="12"/>
      <c r="AU30" s="30"/>
      <c r="AV30" s="12"/>
    </row>
    <row r="31" spans="1:48" x14ac:dyDescent="0.2">
      <c r="A31" s="9" t="str">
        <f ca="1">IF($E31="", "", INDIRECT("$D31"))</f>
        <v/>
      </c>
      <c r="B31" s="9"/>
      <c r="C31" s="10"/>
      <c r="D31" s="10"/>
      <c r="E31"/>
      <c r="F31"/>
      <c r="G31" s="31" t="str">
        <f t="shared" si="0"/>
        <v/>
      </c>
      <c r="H31"/>
      <c r="J31" s="14" t="str">
        <f t="shared" si="1"/>
        <v/>
      </c>
      <c r="L31"/>
      <c r="M31"/>
      <c r="N31" s="26"/>
      <c r="O31" s="26"/>
      <c r="P31"/>
      <c r="AA31" s="12"/>
      <c r="AB31" s="12"/>
      <c r="AJ31" s="22"/>
      <c r="AK31" s="27"/>
      <c r="AQ31" s="12"/>
      <c r="AR31" s="12"/>
      <c r="AU31" s="30"/>
      <c r="AV31" s="12"/>
    </row>
    <row r="32" spans="1:48" x14ac:dyDescent="0.2">
      <c r="A32" s="9" t="str">
        <f ca="1">IF($E32="", "", INDIRECT("$D32"))</f>
        <v/>
      </c>
      <c r="B32" s="9"/>
      <c r="C32" s="10"/>
      <c r="D32" s="10"/>
      <c r="E32"/>
      <c r="F32" s="25"/>
      <c r="G32" s="31" t="str">
        <f t="shared" si="0"/>
        <v/>
      </c>
      <c r="H32"/>
      <c r="J32" s="14" t="str">
        <f t="shared" si="1"/>
        <v/>
      </c>
      <c r="L32"/>
      <c r="M32"/>
      <c r="N32" s="26"/>
      <c r="O32" s="26"/>
      <c r="P32"/>
      <c r="AA32" s="12"/>
      <c r="AB32" s="12"/>
      <c r="AJ32" s="22"/>
      <c r="AK32" s="27"/>
      <c r="AQ32" s="12"/>
      <c r="AR32" s="12"/>
      <c r="AU32" s="30"/>
      <c r="AV32" s="12"/>
    </row>
    <row r="33" spans="1:48" x14ac:dyDescent="0.2">
      <c r="A33" s="9" t="str">
        <f ca="1">IF($E33="", "", INDIRECT("$D33"))</f>
        <v/>
      </c>
      <c r="B33" s="9"/>
      <c r="C33" s="10"/>
      <c r="D33" s="10"/>
      <c r="E33"/>
      <c r="F33"/>
      <c r="G33" s="31" t="str">
        <f t="shared" si="0"/>
        <v/>
      </c>
      <c r="H33"/>
      <c r="J33" s="14" t="str">
        <f t="shared" si="1"/>
        <v/>
      </c>
      <c r="L33"/>
      <c r="M33"/>
      <c r="N33" s="26"/>
      <c r="O33" s="26"/>
      <c r="P33"/>
      <c r="AA33" s="12"/>
      <c r="AB33" s="12"/>
      <c r="AJ33" s="22"/>
      <c r="AK33" s="27"/>
      <c r="AQ33" s="12"/>
      <c r="AR33" s="12"/>
      <c r="AU33" s="30"/>
      <c r="AV33" s="12"/>
    </row>
    <row r="34" spans="1:48" x14ac:dyDescent="0.2">
      <c r="A34" s="9" t="str">
        <f ca="1">IF($E34="", "", INDIRECT("$D34"))</f>
        <v/>
      </c>
      <c r="B34" s="9"/>
      <c r="C34" s="10"/>
      <c r="D34" s="10"/>
      <c r="E34"/>
      <c r="F34"/>
      <c r="G34" s="31" t="str">
        <f t="shared" si="0"/>
        <v/>
      </c>
      <c r="H34"/>
      <c r="J34" s="14" t="str">
        <f t="shared" si="1"/>
        <v/>
      </c>
      <c r="L34"/>
      <c r="M34"/>
      <c r="N34" s="26"/>
      <c r="O34" s="26"/>
      <c r="P34"/>
      <c r="AA34" s="12"/>
      <c r="AB34" s="12"/>
      <c r="AJ34" s="22"/>
      <c r="AK34" s="27"/>
      <c r="AQ34" s="12"/>
      <c r="AR34" s="12"/>
      <c r="AU34" s="30"/>
      <c r="AV34" s="12"/>
    </row>
    <row r="35" spans="1:48" x14ac:dyDescent="0.2">
      <c r="A35" s="9" t="str">
        <f ca="1">IF($E35="", "", INDIRECT("$D35"))</f>
        <v/>
      </c>
      <c r="B35" s="9"/>
      <c r="C35" s="10"/>
      <c r="D35" s="10"/>
      <c r="E35"/>
      <c r="F35"/>
      <c r="G35" s="31" t="str">
        <f t="shared" si="0"/>
        <v/>
      </c>
      <c r="H35"/>
      <c r="J35" s="14" t="str">
        <f t="shared" si="1"/>
        <v/>
      </c>
      <c r="L35"/>
      <c r="M35"/>
      <c r="N35" s="26"/>
      <c r="O35" s="26"/>
      <c r="P35"/>
      <c r="AA35" s="12"/>
      <c r="AB35" s="12"/>
      <c r="AJ35" s="22"/>
      <c r="AK35" s="27"/>
      <c r="AQ35" s="12"/>
      <c r="AR35" s="12"/>
      <c r="AU35" s="30"/>
      <c r="AV35" s="12"/>
    </row>
    <row r="36" spans="1:48" x14ac:dyDescent="0.2">
      <c r="A36" s="9" t="str">
        <f ca="1">IF($E36="", "", INDIRECT("$D36"))</f>
        <v/>
      </c>
      <c r="B36" s="9"/>
      <c r="C36" s="10"/>
      <c r="D36" s="10"/>
      <c r="E36"/>
      <c r="F36"/>
      <c r="G36" s="31" t="str">
        <f t="shared" si="0"/>
        <v/>
      </c>
      <c r="H36"/>
      <c r="J36" s="14" t="str">
        <f t="shared" si="1"/>
        <v/>
      </c>
      <c r="L36"/>
      <c r="M36"/>
      <c r="N36" s="26"/>
      <c r="O36" s="26"/>
      <c r="P36"/>
      <c r="AA36" s="12"/>
      <c r="AB36" s="12"/>
      <c r="AJ36" s="22"/>
      <c r="AK36" s="27"/>
      <c r="AQ36" s="12"/>
      <c r="AR36" s="12"/>
      <c r="AU36" s="30"/>
      <c r="AV36" s="12"/>
    </row>
    <row r="37" spans="1:48" x14ac:dyDescent="0.2">
      <c r="A37" s="9" t="str">
        <f ca="1">IF($E37="", "", INDIRECT("$D37"))</f>
        <v/>
      </c>
      <c r="B37" s="9"/>
      <c r="C37" s="10"/>
      <c r="D37" s="10"/>
      <c r="E37"/>
      <c r="F37"/>
      <c r="G37" s="31" t="str">
        <f t="shared" si="0"/>
        <v/>
      </c>
      <c r="H37"/>
      <c r="J37" s="14" t="str">
        <f t="shared" si="1"/>
        <v/>
      </c>
      <c r="L37"/>
      <c r="M37"/>
      <c r="N37" s="26"/>
      <c r="O37" s="26"/>
      <c r="P37"/>
      <c r="AA37" s="12"/>
      <c r="AB37" s="12"/>
      <c r="AJ37" s="22"/>
      <c r="AK37" s="27"/>
      <c r="AQ37" s="12"/>
      <c r="AR37" s="12"/>
      <c r="AU37" s="30"/>
      <c r="AV37" s="12"/>
    </row>
    <row r="38" spans="1:48" x14ac:dyDescent="0.2">
      <c r="A38" s="9" t="str">
        <f ca="1">IF($E38="", "", INDIRECT("$D38"))</f>
        <v/>
      </c>
      <c r="B38" s="9"/>
      <c r="C38" s="10"/>
      <c r="D38" s="10"/>
      <c r="E38"/>
      <c r="F38"/>
      <c r="G38" s="31" t="str">
        <f t="shared" si="0"/>
        <v/>
      </c>
      <c r="H38"/>
      <c r="J38" s="14" t="str">
        <f t="shared" si="1"/>
        <v/>
      </c>
      <c r="L38"/>
      <c r="M38"/>
      <c r="N38" s="26"/>
      <c r="O38" s="26"/>
      <c r="P38"/>
      <c r="AA38" s="12"/>
      <c r="AB38" s="12"/>
      <c r="AJ38" s="22"/>
      <c r="AK38" s="27"/>
      <c r="AQ38" s="12"/>
      <c r="AR38" s="12"/>
      <c r="AU38" s="30"/>
      <c r="AV38" s="12"/>
    </row>
    <row r="39" spans="1:48" x14ac:dyDescent="0.2">
      <c r="A39" s="9" t="str">
        <f ca="1">IF($E39="", "", INDIRECT("$D39"))</f>
        <v/>
      </c>
      <c r="B39" s="9"/>
      <c r="C39" s="10"/>
      <c r="D39" s="10"/>
      <c r="G39" s="31" t="str">
        <f t="shared" si="0"/>
        <v/>
      </c>
      <c r="J39" s="14" t="str">
        <f t="shared" si="1"/>
        <v/>
      </c>
      <c r="N39" s="13"/>
      <c r="O39" s="13"/>
      <c r="AA39" s="12"/>
      <c r="AB39" s="12"/>
      <c r="AK39" s="27"/>
      <c r="AQ39" s="12"/>
      <c r="AR39" s="12"/>
      <c r="AU39" s="30"/>
      <c r="AV39" s="12"/>
    </row>
    <row r="40" spans="1:48" x14ac:dyDescent="0.2">
      <c r="A40" s="9" t="str">
        <f ca="1">IF($E40="", "", INDIRECT("$D40"))</f>
        <v/>
      </c>
      <c r="B40" s="9"/>
      <c r="C40" s="10"/>
      <c r="D40" s="10"/>
      <c r="G40" s="31" t="str">
        <f t="shared" si="0"/>
        <v/>
      </c>
      <c r="J40" s="14" t="str">
        <f t="shared" si="1"/>
        <v/>
      </c>
      <c r="N40" s="13"/>
      <c r="O40" s="13"/>
      <c r="AA40" s="12"/>
      <c r="AB40" s="12"/>
      <c r="AK40" s="27"/>
      <c r="AQ40" s="12"/>
      <c r="AR40" s="12"/>
      <c r="AU40" s="30"/>
      <c r="AV40" s="12"/>
    </row>
    <row r="41" spans="1:48" x14ac:dyDescent="0.2">
      <c r="A41" s="9" t="str">
        <f ca="1">IF($E41="", "", INDIRECT("$D41"))</f>
        <v/>
      </c>
      <c r="B41" s="9"/>
      <c r="C41" s="10"/>
      <c r="D41" s="10"/>
      <c r="G41" s="31" t="str">
        <f t="shared" si="0"/>
        <v/>
      </c>
      <c r="J41" s="14" t="str">
        <f t="shared" si="1"/>
        <v/>
      </c>
      <c r="N41" s="13"/>
      <c r="O41" s="13"/>
      <c r="AA41" s="12"/>
      <c r="AB41" s="12"/>
      <c r="AK41" s="27"/>
      <c r="AQ41" s="12"/>
      <c r="AR41" s="12"/>
      <c r="AU41" s="30"/>
      <c r="AV41" s="12"/>
    </row>
    <row r="42" spans="1:48" x14ac:dyDescent="0.2">
      <c r="A42" s="9" t="str">
        <f ca="1">IF($E42="", "", INDIRECT("$D42"))</f>
        <v/>
      </c>
      <c r="B42" s="9"/>
      <c r="C42" s="10"/>
      <c r="D42" s="10"/>
      <c r="G42" s="31" t="str">
        <f t="shared" si="0"/>
        <v/>
      </c>
      <c r="J42" s="14" t="str">
        <f t="shared" si="1"/>
        <v/>
      </c>
      <c r="N42" s="13"/>
      <c r="O42" s="13"/>
      <c r="AA42" s="12"/>
      <c r="AB42" s="12"/>
      <c r="AK42" s="27"/>
      <c r="AQ42" s="12"/>
      <c r="AR42" s="12"/>
      <c r="AU42" s="30"/>
      <c r="AV42" s="12"/>
    </row>
    <row r="43" spans="1:48" x14ac:dyDescent="0.2">
      <c r="A43" s="9" t="str">
        <f ca="1">IF($E43="", "", INDIRECT("$D43"))</f>
        <v/>
      </c>
      <c r="B43" s="9"/>
      <c r="C43" s="10"/>
      <c r="D43" s="10"/>
      <c r="G43" s="31" t="str">
        <f t="shared" si="0"/>
        <v/>
      </c>
      <c r="J43" s="14" t="str">
        <f t="shared" si="1"/>
        <v/>
      </c>
      <c r="N43" s="13"/>
      <c r="O43" s="13"/>
      <c r="AA43" s="12"/>
      <c r="AB43" s="12"/>
      <c r="AK43" s="27"/>
      <c r="AQ43" s="12"/>
      <c r="AR43" s="12"/>
      <c r="AU43" s="30"/>
      <c r="AV43" s="12"/>
    </row>
    <row r="44" spans="1:48" x14ac:dyDescent="0.2">
      <c r="A44" s="9" t="str">
        <f ca="1">IF($E44="", "", INDIRECT("$D44"))</f>
        <v/>
      </c>
      <c r="B44" s="9"/>
      <c r="C44" s="10"/>
      <c r="D44" s="10"/>
      <c r="G44" s="31" t="str">
        <f t="shared" si="0"/>
        <v/>
      </c>
      <c r="J44" s="14" t="str">
        <f t="shared" si="1"/>
        <v/>
      </c>
      <c r="N44" s="13"/>
      <c r="O44" s="13"/>
      <c r="AA44" s="12"/>
      <c r="AB44" s="12"/>
      <c r="AK44" s="27"/>
      <c r="AQ44" s="12"/>
      <c r="AR44" s="12"/>
      <c r="AU44" s="30"/>
      <c r="AV44" s="12"/>
    </row>
    <row r="45" spans="1:48" x14ac:dyDescent="0.2">
      <c r="A45" s="9" t="str">
        <f ca="1">IF($E45="", "", INDIRECT("$D45"))</f>
        <v/>
      </c>
      <c r="B45" s="9"/>
      <c r="C45" s="10"/>
      <c r="D45" s="10"/>
      <c r="G45" s="31" t="str">
        <f t="shared" si="0"/>
        <v/>
      </c>
      <c r="J45" s="14" t="str">
        <f t="shared" si="1"/>
        <v/>
      </c>
      <c r="N45" s="13"/>
      <c r="O45" s="13"/>
      <c r="AA45" s="12"/>
      <c r="AB45" s="12"/>
      <c r="AK45" s="27"/>
      <c r="AQ45" s="12"/>
      <c r="AR45" s="12"/>
      <c r="AU45" s="30"/>
      <c r="AV45" s="12"/>
    </row>
    <row r="46" spans="1:48" x14ac:dyDescent="0.2">
      <c r="A46" s="9" t="str">
        <f ca="1">IF($E46="", "", INDIRECT("$D46"))</f>
        <v/>
      </c>
      <c r="B46" s="9"/>
      <c r="C46" s="10"/>
      <c r="D46" s="10"/>
      <c r="G46" s="31" t="str">
        <f t="shared" si="0"/>
        <v/>
      </c>
      <c r="J46" s="14" t="str">
        <f t="shared" si="1"/>
        <v/>
      </c>
      <c r="N46" s="13"/>
      <c r="O46" s="13"/>
      <c r="AA46" s="12"/>
      <c r="AB46" s="12"/>
      <c r="AK46" s="27"/>
      <c r="AQ46" s="12"/>
      <c r="AR46" s="12"/>
      <c r="AU46" s="30"/>
      <c r="AV46" s="12"/>
    </row>
    <row r="47" spans="1:48" x14ac:dyDescent="0.2">
      <c r="A47" s="9" t="str">
        <f ca="1">IF($E47="", "", INDIRECT("$D47"))</f>
        <v/>
      </c>
      <c r="B47" s="9"/>
      <c r="C47" s="10"/>
      <c r="D47" s="10"/>
      <c r="G47" s="31" t="str">
        <f t="shared" si="0"/>
        <v/>
      </c>
      <c r="J47" s="14" t="str">
        <f t="shared" si="1"/>
        <v/>
      </c>
      <c r="N47" s="13"/>
      <c r="O47" s="13"/>
      <c r="AA47" s="12"/>
      <c r="AB47" s="12"/>
      <c r="AK47" s="27"/>
      <c r="AQ47" s="12"/>
      <c r="AR47" s="12"/>
      <c r="AU47" s="30"/>
      <c r="AV47" s="12"/>
    </row>
    <row r="48" spans="1:48" x14ac:dyDescent="0.2">
      <c r="A48" s="9" t="str">
        <f ca="1">IF($E48="", "", INDIRECT("$D48"))</f>
        <v/>
      </c>
      <c r="B48" s="9"/>
      <c r="C48" s="10"/>
      <c r="D48" s="10"/>
      <c r="G48" s="31" t="str">
        <f t="shared" si="0"/>
        <v/>
      </c>
      <c r="J48" s="14" t="str">
        <f t="shared" si="1"/>
        <v/>
      </c>
      <c r="N48" s="13"/>
      <c r="O48" s="13"/>
      <c r="AA48" s="12"/>
      <c r="AB48" s="12"/>
      <c r="AK48" s="27"/>
      <c r="AQ48" s="12"/>
      <c r="AR48" s="12"/>
      <c r="AU48" s="30"/>
      <c r="AV48" s="12"/>
    </row>
    <row r="49" spans="1:48" x14ac:dyDescent="0.2">
      <c r="A49" s="9" t="str">
        <f ca="1">IF($E49="", "", INDIRECT("$D49"))</f>
        <v/>
      </c>
      <c r="B49" s="9"/>
      <c r="C49" s="10"/>
      <c r="D49" s="10"/>
      <c r="G49" s="31" t="str">
        <f t="shared" si="0"/>
        <v/>
      </c>
      <c r="J49" s="14" t="str">
        <f t="shared" si="1"/>
        <v/>
      </c>
      <c r="N49" s="13"/>
      <c r="O49" s="13"/>
      <c r="AA49" s="12"/>
      <c r="AB49" s="12"/>
      <c r="AK49" s="27"/>
      <c r="AQ49" s="12"/>
      <c r="AR49" s="12"/>
      <c r="AU49" s="30"/>
      <c r="AV49" s="12"/>
    </row>
    <row r="50" spans="1:48" x14ac:dyDescent="0.2">
      <c r="A50" s="9" t="str">
        <f ca="1">IF($E50="", "", INDIRECT("$D50"))</f>
        <v/>
      </c>
      <c r="B50" s="9"/>
      <c r="C50" s="10"/>
      <c r="D50" s="10"/>
      <c r="G50" s="31" t="str">
        <f t="shared" si="0"/>
        <v/>
      </c>
      <c r="J50" s="14" t="str">
        <f t="shared" si="1"/>
        <v/>
      </c>
      <c r="N50" s="13"/>
      <c r="O50" s="13"/>
      <c r="AA50" s="12"/>
      <c r="AB50" s="12"/>
      <c r="AK50" s="27"/>
      <c r="AQ50" s="12"/>
      <c r="AR50" s="12"/>
      <c r="AU50" s="30"/>
      <c r="AV50" s="12"/>
    </row>
    <row r="51" spans="1:48" x14ac:dyDescent="0.2">
      <c r="A51" s="9" t="str">
        <f ca="1">IF($E51="", "", INDIRECT("$D51"))</f>
        <v/>
      </c>
      <c r="B51" s="9"/>
      <c r="C51" s="10"/>
      <c r="D51" s="10"/>
      <c r="G51" s="31" t="str">
        <f t="shared" si="0"/>
        <v/>
      </c>
      <c r="J51" s="14" t="str">
        <f t="shared" si="1"/>
        <v/>
      </c>
      <c r="N51" s="13"/>
      <c r="O51" s="13"/>
      <c r="AA51" s="12"/>
      <c r="AB51" s="12"/>
      <c r="AK51" s="27"/>
      <c r="AQ51" s="12"/>
      <c r="AR51" s="12"/>
      <c r="AU51" s="30"/>
      <c r="AV51" s="12"/>
    </row>
    <row r="52" spans="1:48" x14ac:dyDescent="0.2">
      <c r="A52" s="9" t="str">
        <f ca="1">IF($E52="", "", INDIRECT("$D52"))</f>
        <v/>
      </c>
      <c r="B52" s="9"/>
      <c r="C52" s="10"/>
      <c r="D52" s="10"/>
      <c r="G52" s="31" t="str">
        <f t="shared" si="0"/>
        <v/>
      </c>
      <c r="J52" s="14" t="str">
        <f t="shared" si="1"/>
        <v/>
      </c>
      <c r="N52" s="13"/>
      <c r="O52" s="13"/>
      <c r="AA52" s="12"/>
      <c r="AB52" s="12"/>
      <c r="AK52" s="27"/>
      <c r="AQ52" s="12"/>
      <c r="AR52" s="12"/>
      <c r="AU52" s="30"/>
      <c r="AV52" s="12"/>
    </row>
    <row r="53" spans="1:48" x14ac:dyDescent="0.2">
      <c r="A53" s="9" t="str">
        <f ca="1">IF($E53="", "", INDIRECT("$D53"))</f>
        <v/>
      </c>
      <c r="B53" s="9"/>
      <c r="C53" s="10"/>
      <c r="D53" s="10"/>
      <c r="G53" s="31" t="str">
        <f t="shared" si="0"/>
        <v/>
      </c>
      <c r="J53" s="14" t="str">
        <f t="shared" si="1"/>
        <v/>
      </c>
      <c r="N53" s="13"/>
      <c r="O53" s="13"/>
      <c r="AA53" s="12"/>
      <c r="AB53" s="12"/>
      <c r="AK53" s="27"/>
      <c r="AQ53" s="12"/>
      <c r="AR53" s="12"/>
      <c r="AU53" s="30"/>
      <c r="AV53" s="12"/>
    </row>
    <row r="54" spans="1:48" x14ac:dyDescent="0.2">
      <c r="A54" s="9" t="str">
        <f ca="1">IF($E54="", "", INDIRECT("$D54"))</f>
        <v/>
      </c>
      <c r="B54" s="9"/>
      <c r="C54" s="10"/>
      <c r="D54" s="10"/>
      <c r="G54" s="31" t="str">
        <f t="shared" si="0"/>
        <v/>
      </c>
      <c r="J54" s="14" t="str">
        <f t="shared" si="1"/>
        <v/>
      </c>
      <c r="N54" s="13"/>
      <c r="O54" s="13"/>
      <c r="AA54" s="12"/>
      <c r="AB54" s="12"/>
      <c r="AK54" s="27"/>
      <c r="AQ54" s="12"/>
      <c r="AR54" s="12"/>
      <c r="AU54" s="30"/>
      <c r="AV54" s="12"/>
    </row>
    <row r="55" spans="1:48" x14ac:dyDescent="0.2">
      <c r="A55" s="9" t="str">
        <f ca="1">IF($E55="", "", INDIRECT("$D55"))</f>
        <v/>
      </c>
      <c r="B55" s="9"/>
      <c r="C55" s="10"/>
      <c r="D55" s="10"/>
      <c r="G55" s="31" t="str">
        <f t="shared" si="0"/>
        <v/>
      </c>
      <c r="J55" s="14" t="str">
        <f t="shared" si="1"/>
        <v/>
      </c>
      <c r="N55" s="13"/>
      <c r="O55" s="13"/>
      <c r="AA55" s="12"/>
      <c r="AB55" s="12"/>
      <c r="AK55" s="27"/>
      <c r="AQ55" s="12"/>
      <c r="AR55" s="12"/>
      <c r="AU55" s="30"/>
      <c r="AV55" s="12"/>
    </row>
    <row r="56" spans="1:48" x14ac:dyDescent="0.2">
      <c r="A56" s="9" t="str">
        <f ca="1">IF($E56="", "", INDIRECT("$D56"))</f>
        <v/>
      </c>
      <c r="B56" s="9"/>
      <c r="C56" s="10"/>
      <c r="D56" s="10"/>
      <c r="G56" s="31" t="str">
        <f t="shared" si="0"/>
        <v/>
      </c>
      <c r="J56" s="14" t="str">
        <f t="shared" si="1"/>
        <v/>
      </c>
      <c r="N56" s="13"/>
      <c r="O56" s="13"/>
      <c r="AA56" s="12"/>
      <c r="AB56" s="12"/>
      <c r="AK56" s="27"/>
      <c r="AQ56" s="12"/>
      <c r="AR56" s="12"/>
      <c r="AU56" s="30"/>
      <c r="AV56" s="12"/>
    </row>
    <row r="57" spans="1:48" x14ac:dyDescent="0.2">
      <c r="A57" s="9" t="str">
        <f ca="1">IF($E57="", "", INDIRECT("$D57"))</f>
        <v/>
      </c>
      <c r="B57" s="9"/>
      <c r="C57" s="10"/>
      <c r="D57" s="10"/>
      <c r="G57" s="31" t="str">
        <f t="shared" si="0"/>
        <v/>
      </c>
      <c r="J57" s="14" t="str">
        <f t="shared" si="1"/>
        <v/>
      </c>
      <c r="N57" s="13"/>
      <c r="O57" s="13"/>
      <c r="AA57" s="12"/>
      <c r="AB57" s="12"/>
      <c r="AK57" s="27"/>
      <c r="AQ57" s="12"/>
      <c r="AR57" s="12"/>
      <c r="AU57" s="30"/>
      <c r="AV57" s="12"/>
    </row>
    <row r="58" spans="1:48" x14ac:dyDescent="0.2">
      <c r="A58" s="9" t="str">
        <f ca="1">IF($E58="", "", INDIRECT("$D58"))</f>
        <v/>
      </c>
      <c r="B58" s="9"/>
      <c r="C58" s="10"/>
      <c r="D58" s="10"/>
      <c r="G58" s="31" t="str">
        <f t="shared" si="0"/>
        <v/>
      </c>
      <c r="J58" s="14" t="str">
        <f t="shared" si="1"/>
        <v/>
      </c>
      <c r="N58" s="13"/>
      <c r="O58" s="13"/>
      <c r="AA58" s="12"/>
      <c r="AB58" s="12"/>
      <c r="AK58" s="27"/>
      <c r="AQ58" s="12"/>
      <c r="AR58" s="12"/>
      <c r="AU58" s="30"/>
      <c r="AV58" s="12"/>
    </row>
    <row r="59" spans="1:48" x14ac:dyDescent="0.2">
      <c r="A59" s="9" t="str">
        <f ca="1">IF($E59="", "", INDIRECT("$D59"))</f>
        <v/>
      </c>
      <c r="B59" s="9"/>
      <c r="C59" s="10"/>
      <c r="D59" s="10"/>
      <c r="G59" s="31" t="str">
        <f t="shared" si="0"/>
        <v/>
      </c>
      <c r="J59" s="14" t="str">
        <f t="shared" si="1"/>
        <v/>
      </c>
      <c r="N59" s="13"/>
      <c r="O59" s="13"/>
      <c r="AA59" s="12"/>
      <c r="AB59" s="12"/>
      <c r="AK59" s="27"/>
      <c r="AQ59" s="12"/>
      <c r="AR59" s="12"/>
      <c r="AU59" s="30"/>
      <c r="AV59" s="12"/>
    </row>
    <row r="60" spans="1:48" x14ac:dyDescent="0.2">
      <c r="A60" s="9" t="str">
        <f ca="1">IF($E60="", "", INDIRECT("$D60"))</f>
        <v/>
      </c>
      <c r="B60" s="9"/>
      <c r="C60" s="10"/>
      <c r="D60" s="10"/>
      <c r="G60" s="31" t="str">
        <f t="shared" si="0"/>
        <v/>
      </c>
      <c r="J60" s="14" t="str">
        <f t="shared" si="1"/>
        <v/>
      </c>
      <c r="N60" s="13"/>
      <c r="O60" s="13"/>
      <c r="AA60" s="12"/>
      <c r="AB60" s="12"/>
      <c r="AK60" s="27"/>
      <c r="AQ60" s="12"/>
      <c r="AR60" s="12"/>
      <c r="AU60" s="30"/>
      <c r="AV60" s="12"/>
    </row>
    <row r="61" spans="1:48" x14ac:dyDescent="0.2">
      <c r="A61" s="9" t="str">
        <f ca="1">IF($E61="", "", INDIRECT("$D61"))</f>
        <v/>
      </c>
      <c r="B61" s="9"/>
      <c r="C61" s="10"/>
      <c r="D61" s="10"/>
      <c r="G61" s="31" t="str">
        <f t="shared" si="0"/>
        <v/>
      </c>
      <c r="J61" s="14" t="str">
        <f t="shared" si="1"/>
        <v/>
      </c>
      <c r="N61" s="13"/>
      <c r="O61" s="13"/>
      <c r="AA61" s="12"/>
      <c r="AB61" s="12"/>
      <c r="AK61" s="27"/>
      <c r="AQ61" s="12"/>
      <c r="AR61" s="12"/>
      <c r="AU61" s="30"/>
      <c r="AV61" s="12"/>
    </row>
    <row r="62" spans="1:48" x14ac:dyDescent="0.2">
      <c r="A62" s="9" t="str">
        <f ca="1">IF($E62="", "", INDIRECT("$D62"))</f>
        <v/>
      </c>
      <c r="B62" s="9"/>
      <c r="C62" s="10"/>
      <c r="D62" s="10"/>
      <c r="G62" s="31" t="str">
        <f t="shared" si="0"/>
        <v/>
      </c>
      <c r="J62" s="14" t="str">
        <f t="shared" si="1"/>
        <v/>
      </c>
      <c r="N62" s="13"/>
      <c r="O62" s="13"/>
      <c r="AA62" s="12"/>
      <c r="AB62" s="12"/>
      <c r="AK62" s="27"/>
      <c r="AQ62" s="12"/>
      <c r="AR62" s="12"/>
      <c r="AU62" s="30"/>
      <c r="AV62" s="12"/>
    </row>
    <row r="63" spans="1:48" x14ac:dyDescent="0.2">
      <c r="A63" s="9" t="str">
        <f ca="1">IF($E63="", "", INDIRECT("$D63"))</f>
        <v/>
      </c>
      <c r="B63" s="9"/>
      <c r="C63" s="10"/>
      <c r="D63" s="10"/>
      <c r="G63" s="31" t="str">
        <f t="shared" si="0"/>
        <v/>
      </c>
      <c r="J63" s="14" t="str">
        <f t="shared" si="1"/>
        <v/>
      </c>
      <c r="N63" s="13"/>
      <c r="O63" s="13"/>
      <c r="AA63" s="12"/>
      <c r="AB63" s="12"/>
      <c r="AK63" s="27"/>
      <c r="AQ63" s="12"/>
      <c r="AR63" s="12"/>
      <c r="AU63" s="30"/>
      <c r="AV63" s="12"/>
    </row>
    <row r="64" spans="1:48" x14ac:dyDescent="0.2">
      <c r="A64" s="9" t="str">
        <f ca="1">IF($E64="", "", INDIRECT("$D64"))</f>
        <v/>
      </c>
      <c r="B64" s="9"/>
      <c r="C64" s="10"/>
      <c r="D64" s="10"/>
      <c r="G64" s="31" t="str">
        <f t="shared" si="0"/>
        <v/>
      </c>
      <c r="J64" s="14" t="str">
        <f t="shared" si="1"/>
        <v/>
      </c>
      <c r="N64" s="13"/>
      <c r="O64" s="13"/>
      <c r="AA64" s="12"/>
      <c r="AB64" s="12"/>
      <c r="AK64" s="27"/>
      <c r="AQ64" s="12"/>
      <c r="AR64" s="12"/>
      <c r="AU64" s="30"/>
      <c r="AV64" s="12"/>
    </row>
    <row r="65" spans="1:48" x14ac:dyDescent="0.2">
      <c r="A65" s="9" t="str">
        <f ca="1">IF($E65="", "", INDIRECT("$D65"))</f>
        <v/>
      </c>
      <c r="B65" s="9"/>
      <c r="C65" s="10"/>
      <c r="D65" s="10"/>
      <c r="F65" s="23"/>
      <c r="G65" s="31" t="str">
        <f t="shared" si="0"/>
        <v/>
      </c>
      <c r="J65" s="14" t="str">
        <f t="shared" si="1"/>
        <v/>
      </c>
      <c r="N65" s="13"/>
      <c r="O65" s="13"/>
      <c r="AA65" s="12"/>
      <c r="AB65" s="12"/>
      <c r="AK65" s="27"/>
      <c r="AQ65" s="12"/>
      <c r="AR65" s="12"/>
      <c r="AU65" s="30"/>
      <c r="AV65" s="12"/>
    </row>
    <row r="66" spans="1:48" x14ac:dyDescent="0.2">
      <c r="A66" s="9" t="str">
        <f ca="1">IF($E66="", "", INDIRECT("$D66"))</f>
        <v/>
      </c>
      <c r="B66" s="9"/>
      <c r="C66" s="10"/>
      <c r="D66" s="10"/>
      <c r="G66" s="31" t="str">
        <f t="shared" si="0"/>
        <v/>
      </c>
      <c r="J66" s="14" t="str">
        <f t="shared" si="1"/>
        <v/>
      </c>
      <c r="N66" s="13"/>
      <c r="O66" s="13"/>
      <c r="AA66" s="12"/>
      <c r="AB66" s="12"/>
      <c r="AK66" s="27"/>
      <c r="AQ66" s="12"/>
      <c r="AR66" s="12"/>
      <c r="AU66" s="30"/>
      <c r="AV66" s="12"/>
    </row>
    <row r="67" spans="1:48" x14ac:dyDescent="0.2">
      <c r="A67" s="9" t="str">
        <f ca="1">IF($E67="", "", INDIRECT("$D67"))</f>
        <v/>
      </c>
      <c r="B67" s="9"/>
      <c r="C67" s="10"/>
      <c r="D67" s="10"/>
      <c r="G67" s="31" t="str">
        <f t="shared" si="0"/>
        <v/>
      </c>
      <c r="J67" s="14" t="str">
        <f t="shared" si="1"/>
        <v/>
      </c>
      <c r="N67" s="13"/>
      <c r="O67" s="13"/>
      <c r="AA67" s="12"/>
      <c r="AB67" s="12"/>
      <c r="AK67" s="27"/>
      <c r="AQ67" s="12"/>
      <c r="AR67" s="12"/>
      <c r="AU67" s="30"/>
      <c r="AV67" s="12"/>
    </row>
    <row r="68" spans="1:48" x14ac:dyDescent="0.2">
      <c r="A68" s="9" t="str">
        <f ca="1">IF($E68="", "", INDIRECT("$D68"))</f>
        <v/>
      </c>
      <c r="B68" s="9"/>
      <c r="C68" s="10"/>
      <c r="D68" s="10"/>
      <c r="G68" s="31" t="str">
        <f t="shared" si="0"/>
        <v/>
      </c>
      <c r="J68" s="14" t="str">
        <f t="shared" si="1"/>
        <v/>
      </c>
      <c r="N68" s="13"/>
      <c r="O68" s="13"/>
      <c r="AA68" s="12"/>
      <c r="AB68" s="12"/>
      <c r="AK68" s="27"/>
      <c r="AQ68" s="12"/>
      <c r="AR68" s="12"/>
      <c r="AU68" s="30"/>
      <c r="AV68" s="12"/>
    </row>
    <row r="69" spans="1:48" x14ac:dyDescent="0.2">
      <c r="A69" s="9" t="str">
        <f ca="1">IF($E69="", "", INDIRECT("$D69"))</f>
        <v/>
      </c>
      <c r="B69" s="9"/>
      <c r="C69" s="10"/>
      <c r="D69" s="10"/>
      <c r="G69" s="31" t="str">
        <f t="shared" si="0"/>
        <v/>
      </c>
      <c r="J69" s="14" t="str">
        <f t="shared" si="1"/>
        <v/>
      </c>
      <c r="N69" s="13"/>
      <c r="O69" s="13"/>
      <c r="AA69" s="12"/>
      <c r="AB69" s="12"/>
      <c r="AK69" s="27"/>
      <c r="AQ69" s="12"/>
      <c r="AR69" s="12"/>
      <c r="AU69" s="30"/>
      <c r="AV69" s="12"/>
    </row>
    <row r="70" spans="1:48" x14ac:dyDescent="0.2">
      <c r="A70" s="9" t="str">
        <f ca="1">IF($E70="", "", INDIRECT("$D70"))</f>
        <v/>
      </c>
      <c r="B70" s="9"/>
      <c r="C70" s="10"/>
      <c r="D70" s="10"/>
      <c r="G70" s="31" t="str">
        <f t="shared" si="0"/>
        <v/>
      </c>
      <c r="J70" s="14" t="str">
        <f t="shared" si="1"/>
        <v/>
      </c>
      <c r="N70" s="13"/>
      <c r="O70" s="13"/>
      <c r="AA70" s="12"/>
      <c r="AB70" s="12"/>
      <c r="AK70" s="27"/>
      <c r="AQ70" s="12"/>
      <c r="AR70" s="12"/>
      <c r="AU70" s="30"/>
      <c r="AV70" s="12"/>
    </row>
    <row r="71" spans="1:48" x14ac:dyDescent="0.2">
      <c r="A71" s="9" t="str">
        <f ca="1">IF($E71="", "", INDIRECT("$D71"))</f>
        <v/>
      </c>
      <c r="B71" s="9"/>
      <c r="C71" s="10"/>
      <c r="D71" s="10"/>
      <c r="G71" s="31" t="str">
        <f t="shared" ref="G71:G100" si="2">IF($E71="", "", "06-107, 12-245")</f>
        <v/>
      </c>
      <c r="J71" s="14" t="str">
        <f t="shared" ref="J71:J100" si="3">IF($I71="Lab Medicine", "Streck", IF($I71="IMF", "CPT", IF($I71="IMPACT", "EDTA", "")))</f>
        <v/>
      </c>
      <c r="N71" s="13"/>
      <c r="O71" s="13"/>
      <c r="AA71" s="12"/>
      <c r="AB71" s="12"/>
      <c r="AK71" s="27"/>
      <c r="AQ71" s="12"/>
      <c r="AR71" s="12"/>
      <c r="AU71" s="30"/>
      <c r="AV71" s="12"/>
    </row>
    <row r="72" spans="1:48" x14ac:dyDescent="0.2">
      <c r="A72" s="9" t="str">
        <f ca="1">IF($E72="", "", INDIRECT("$D72"))</f>
        <v/>
      </c>
      <c r="B72" s="9"/>
      <c r="C72" s="10"/>
      <c r="D72" s="10"/>
      <c r="G72" s="31" t="str">
        <f t="shared" si="2"/>
        <v/>
      </c>
      <c r="J72" s="14" t="str">
        <f t="shared" si="3"/>
        <v/>
      </c>
      <c r="N72" s="13"/>
      <c r="O72" s="13"/>
      <c r="AA72" s="12"/>
      <c r="AB72" s="12"/>
      <c r="AK72" s="27"/>
      <c r="AQ72" s="12"/>
      <c r="AR72" s="12"/>
      <c r="AU72" s="30"/>
      <c r="AV72" s="12"/>
    </row>
    <row r="73" spans="1:48" x14ac:dyDescent="0.2">
      <c r="A73" s="9" t="str">
        <f ca="1">IF($E73="", "", INDIRECT("$D73"))</f>
        <v/>
      </c>
      <c r="B73" s="9"/>
      <c r="C73" s="10"/>
      <c r="D73" s="10"/>
      <c r="F73" s="23"/>
      <c r="G73" s="31" t="str">
        <f t="shared" si="2"/>
        <v/>
      </c>
      <c r="J73" s="14" t="str">
        <f t="shared" si="3"/>
        <v/>
      </c>
      <c r="N73" s="13"/>
      <c r="O73" s="13"/>
      <c r="AA73" s="12"/>
      <c r="AB73" s="12"/>
      <c r="AK73" s="27"/>
      <c r="AQ73" s="12"/>
      <c r="AR73" s="12"/>
      <c r="AU73" s="30"/>
      <c r="AV73" s="12"/>
    </row>
    <row r="74" spans="1:48" x14ac:dyDescent="0.2">
      <c r="A74" s="9" t="str">
        <f ca="1">IF($E74="", "", INDIRECT("$D74"))</f>
        <v/>
      </c>
      <c r="B74" s="9"/>
      <c r="C74" s="10"/>
      <c r="D74" s="10"/>
      <c r="F74" s="23"/>
      <c r="G74" s="31" t="str">
        <f t="shared" si="2"/>
        <v/>
      </c>
      <c r="J74" s="14" t="str">
        <f t="shared" si="3"/>
        <v/>
      </c>
      <c r="N74" s="13"/>
      <c r="O74" s="13"/>
      <c r="AA74" s="12"/>
      <c r="AB74" s="12"/>
      <c r="AK74" s="27"/>
      <c r="AQ74" s="12"/>
      <c r="AR74" s="12"/>
      <c r="AU74" s="30"/>
      <c r="AV74" s="12"/>
    </row>
    <row r="75" spans="1:48" x14ac:dyDescent="0.2">
      <c r="A75" s="9" t="str">
        <f ca="1">IF($E75="", "", INDIRECT("$D75"))</f>
        <v/>
      </c>
      <c r="B75" s="9"/>
      <c r="C75" s="10"/>
      <c r="D75" s="10"/>
      <c r="F75" s="23"/>
      <c r="G75" s="31" t="str">
        <f t="shared" si="2"/>
        <v/>
      </c>
      <c r="J75" s="14" t="str">
        <f t="shared" si="3"/>
        <v/>
      </c>
      <c r="N75" s="13"/>
      <c r="O75" s="13"/>
      <c r="AA75" s="12"/>
      <c r="AB75" s="12"/>
      <c r="AK75" s="27"/>
      <c r="AQ75" s="12"/>
      <c r="AR75" s="12"/>
      <c r="AU75" s="30"/>
      <c r="AV75" s="12"/>
    </row>
    <row r="76" spans="1:48" x14ac:dyDescent="0.2">
      <c r="A76" s="9" t="str">
        <f ca="1">IF($E76="", "", INDIRECT("$D76"))</f>
        <v/>
      </c>
      <c r="B76" s="9"/>
      <c r="C76" s="10"/>
      <c r="D76" s="10"/>
      <c r="G76" s="31" t="str">
        <f t="shared" si="2"/>
        <v/>
      </c>
      <c r="J76" s="14" t="str">
        <f t="shared" si="3"/>
        <v/>
      </c>
      <c r="N76" s="13"/>
      <c r="O76" s="13"/>
      <c r="AA76" s="12"/>
      <c r="AB76" s="12"/>
      <c r="AK76" s="27"/>
      <c r="AQ76" s="12"/>
      <c r="AR76" s="12"/>
      <c r="AU76" s="30"/>
      <c r="AV76" s="12"/>
    </row>
    <row r="77" spans="1:48" x14ac:dyDescent="0.2">
      <c r="A77" s="9" t="str">
        <f ca="1">IF($E77="", "", INDIRECT("$D77"))</f>
        <v/>
      </c>
      <c r="B77" s="9"/>
      <c r="C77" s="10"/>
      <c r="D77" s="10"/>
      <c r="G77" s="31" t="str">
        <f t="shared" si="2"/>
        <v/>
      </c>
      <c r="J77" s="14" t="str">
        <f t="shared" si="3"/>
        <v/>
      </c>
      <c r="N77" s="13"/>
      <c r="O77" s="13"/>
      <c r="AA77" s="12"/>
      <c r="AB77" s="12"/>
      <c r="AK77" s="27"/>
      <c r="AQ77" s="12"/>
      <c r="AR77" s="12"/>
      <c r="AU77" s="30"/>
      <c r="AV77" s="12"/>
    </row>
    <row r="78" spans="1:48" x14ac:dyDescent="0.2">
      <c r="A78" s="9" t="str">
        <f ca="1">IF($E78="", "", INDIRECT("$D78"))</f>
        <v/>
      </c>
      <c r="B78" s="9"/>
      <c r="C78" s="10"/>
      <c r="D78" s="10"/>
      <c r="G78" s="31" t="str">
        <f t="shared" si="2"/>
        <v/>
      </c>
      <c r="J78" s="14" t="str">
        <f t="shared" si="3"/>
        <v/>
      </c>
      <c r="N78" s="13"/>
      <c r="O78" s="13"/>
      <c r="AA78" s="12"/>
      <c r="AB78" s="12"/>
      <c r="AK78" s="27"/>
      <c r="AQ78" s="12"/>
      <c r="AR78" s="12"/>
      <c r="AU78" s="30"/>
      <c r="AV78" s="12"/>
    </row>
    <row r="79" spans="1:48" x14ac:dyDescent="0.2">
      <c r="A79" s="9" t="str">
        <f ca="1">IF($E79="", "", INDIRECT("$D79"))</f>
        <v/>
      </c>
      <c r="B79" s="9"/>
      <c r="C79" s="10"/>
      <c r="D79" s="10"/>
      <c r="G79" s="31" t="str">
        <f t="shared" si="2"/>
        <v/>
      </c>
      <c r="J79" s="14" t="str">
        <f t="shared" si="3"/>
        <v/>
      </c>
      <c r="N79" s="13"/>
      <c r="O79" s="13"/>
      <c r="AA79" s="12"/>
      <c r="AB79" s="12"/>
      <c r="AK79" s="27"/>
      <c r="AQ79" s="12"/>
      <c r="AR79" s="12"/>
      <c r="AU79" s="30"/>
      <c r="AV79" s="12"/>
    </row>
    <row r="80" spans="1:48" x14ac:dyDescent="0.2">
      <c r="A80" s="9" t="str">
        <f ca="1">IF($E80="", "", INDIRECT("$D80"))</f>
        <v/>
      </c>
      <c r="B80" s="9"/>
      <c r="C80" s="10"/>
      <c r="D80" s="10"/>
      <c r="G80" s="31" t="str">
        <f t="shared" si="2"/>
        <v/>
      </c>
      <c r="J80" s="14" t="str">
        <f t="shared" si="3"/>
        <v/>
      </c>
      <c r="N80" s="13"/>
      <c r="O80" s="13"/>
      <c r="AA80" s="12"/>
      <c r="AB80" s="12"/>
      <c r="AK80" s="27"/>
      <c r="AQ80" s="12"/>
      <c r="AR80" s="12"/>
      <c r="AU80" s="30"/>
      <c r="AV80" s="12"/>
    </row>
    <row r="81" spans="1:48" x14ac:dyDescent="0.2">
      <c r="A81" s="9" t="str">
        <f ca="1">IF($E81="", "", INDIRECT("$D81"))</f>
        <v/>
      </c>
      <c r="B81" s="9"/>
      <c r="C81" s="10"/>
      <c r="D81" s="10"/>
      <c r="G81" s="31" t="str">
        <f t="shared" si="2"/>
        <v/>
      </c>
      <c r="J81" s="14" t="str">
        <f t="shared" si="3"/>
        <v/>
      </c>
      <c r="N81" s="13"/>
      <c r="O81" s="13"/>
      <c r="AA81" s="12"/>
      <c r="AB81" s="12"/>
      <c r="AK81" s="27"/>
      <c r="AQ81" s="12"/>
      <c r="AR81" s="12"/>
      <c r="AU81" s="30"/>
      <c r="AV81" s="12"/>
    </row>
    <row r="82" spans="1:48" x14ac:dyDescent="0.2">
      <c r="A82" s="9" t="str">
        <f ca="1">IF($E82="", "", INDIRECT("$D82"))</f>
        <v/>
      </c>
      <c r="B82" s="9"/>
      <c r="C82" s="10"/>
      <c r="D82" s="10"/>
      <c r="G82" s="31" t="str">
        <f t="shared" si="2"/>
        <v/>
      </c>
      <c r="J82" s="14" t="str">
        <f t="shared" si="3"/>
        <v/>
      </c>
      <c r="N82" s="13"/>
      <c r="O82" s="13"/>
      <c r="AA82" s="12"/>
      <c r="AB82" s="12"/>
      <c r="AK82" s="27"/>
      <c r="AQ82" s="12"/>
      <c r="AR82" s="12"/>
      <c r="AU82" s="30"/>
      <c r="AV82" s="12"/>
    </row>
    <row r="83" spans="1:48" x14ac:dyDescent="0.2">
      <c r="A83" s="9" t="str">
        <f ca="1">IF($E83="", "", INDIRECT("$D83"))</f>
        <v/>
      </c>
      <c r="B83" s="9"/>
      <c r="C83" s="10"/>
      <c r="D83" s="10"/>
      <c r="G83" s="31" t="str">
        <f t="shared" si="2"/>
        <v/>
      </c>
      <c r="J83" s="14" t="str">
        <f t="shared" si="3"/>
        <v/>
      </c>
      <c r="N83" s="13"/>
      <c r="O83" s="13"/>
      <c r="AA83" s="12"/>
      <c r="AB83" s="12"/>
      <c r="AK83" s="27"/>
      <c r="AQ83" s="12"/>
      <c r="AR83" s="12"/>
      <c r="AU83" s="30"/>
      <c r="AV83" s="12"/>
    </row>
    <row r="84" spans="1:48" x14ac:dyDescent="0.2">
      <c r="A84" s="9" t="str">
        <f ca="1">IF($E84="", "", INDIRECT("$D84"))</f>
        <v/>
      </c>
      <c r="B84" s="9"/>
      <c r="C84" s="10"/>
      <c r="D84" s="10"/>
      <c r="G84" s="31" t="str">
        <f t="shared" si="2"/>
        <v/>
      </c>
      <c r="J84" s="14" t="str">
        <f t="shared" si="3"/>
        <v/>
      </c>
      <c r="N84" s="13"/>
      <c r="O84" s="13"/>
      <c r="AA84" s="12"/>
      <c r="AB84" s="12"/>
      <c r="AK84" s="27"/>
      <c r="AQ84" s="12"/>
      <c r="AR84" s="12"/>
      <c r="AU84" s="30"/>
      <c r="AV84" s="12"/>
    </row>
    <row r="85" spans="1:48" x14ac:dyDescent="0.2">
      <c r="A85" s="9" t="str">
        <f ca="1">IF($E85="", "", INDIRECT("$D85"))</f>
        <v/>
      </c>
      <c r="B85" s="9"/>
      <c r="C85" s="10"/>
      <c r="D85" s="10"/>
      <c r="G85" s="31" t="str">
        <f t="shared" si="2"/>
        <v/>
      </c>
      <c r="J85" s="14" t="str">
        <f t="shared" si="3"/>
        <v/>
      </c>
      <c r="N85" s="13"/>
      <c r="O85" s="13"/>
      <c r="AA85" s="12"/>
      <c r="AB85" s="12"/>
      <c r="AK85" s="27"/>
      <c r="AQ85" s="12"/>
      <c r="AR85" s="12"/>
      <c r="AU85" s="30"/>
      <c r="AV85" s="12"/>
    </row>
    <row r="86" spans="1:48" x14ac:dyDescent="0.2">
      <c r="A86" s="9" t="str">
        <f ca="1">IF($E86="", "", INDIRECT("$D86"))</f>
        <v/>
      </c>
      <c r="B86" s="9"/>
      <c r="C86" s="10"/>
      <c r="D86" s="10"/>
      <c r="G86" s="31" t="str">
        <f t="shared" si="2"/>
        <v/>
      </c>
      <c r="J86" s="14" t="str">
        <f t="shared" si="3"/>
        <v/>
      </c>
      <c r="N86" s="13"/>
      <c r="O86" s="13"/>
      <c r="AA86" s="12"/>
      <c r="AB86" s="12"/>
      <c r="AK86" s="27"/>
      <c r="AQ86" s="12"/>
      <c r="AR86" s="12"/>
      <c r="AU86" s="30"/>
      <c r="AV86" s="12"/>
    </row>
    <row r="87" spans="1:48" x14ac:dyDescent="0.2">
      <c r="A87" s="9" t="str">
        <f ca="1">IF($E87="", "", INDIRECT("$D87"))</f>
        <v/>
      </c>
      <c r="B87" s="9"/>
      <c r="C87" s="10"/>
      <c r="D87" s="10"/>
      <c r="G87" s="31" t="str">
        <f t="shared" si="2"/>
        <v/>
      </c>
      <c r="J87" s="14" t="str">
        <f t="shared" si="3"/>
        <v/>
      </c>
      <c r="N87" s="13"/>
      <c r="O87" s="13"/>
      <c r="AA87" s="12"/>
      <c r="AB87" s="12"/>
      <c r="AK87" s="27"/>
      <c r="AQ87" s="12"/>
      <c r="AR87" s="12"/>
      <c r="AU87" s="30"/>
      <c r="AV87" s="12"/>
    </row>
    <row r="88" spans="1:48" x14ac:dyDescent="0.2">
      <c r="A88" s="9" t="str">
        <f ca="1">IF($E88="", "", INDIRECT("$D88"))</f>
        <v/>
      </c>
      <c r="B88" s="9"/>
      <c r="C88" s="10"/>
      <c r="D88" s="10"/>
      <c r="G88" s="31" t="str">
        <f t="shared" si="2"/>
        <v/>
      </c>
      <c r="J88" s="14" t="str">
        <f t="shared" si="3"/>
        <v/>
      </c>
      <c r="N88" s="13"/>
      <c r="O88" s="13"/>
      <c r="AA88" s="12"/>
      <c r="AB88" s="12"/>
      <c r="AK88" s="27"/>
      <c r="AQ88" s="12"/>
      <c r="AR88" s="12"/>
      <c r="AU88" s="30"/>
      <c r="AV88" s="12"/>
    </row>
    <row r="89" spans="1:48" x14ac:dyDescent="0.2">
      <c r="A89" s="9" t="str">
        <f ca="1">IF($E89="", "", INDIRECT("$D89"))</f>
        <v/>
      </c>
      <c r="B89" s="9"/>
      <c r="C89" s="10"/>
      <c r="D89" s="10"/>
      <c r="G89" s="31" t="str">
        <f t="shared" si="2"/>
        <v/>
      </c>
      <c r="J89" s="14" t="str">
        <f t="shared" si="3"/>
        <v/>
      </c>
      <c r="N89" s="13"/>
      <c r="O89" s="13"/>
      <c r="AA89" s="12"/>
      <c r="AB89" s="12"/>
      <c r="AK89" s="27"/>
      <c r="AQ89" s="12"/>
      <c r="AR89" s="12"/>
      <c r="AU89" s="30"/>
      <c r="AV89" s="12"/>
    </row>
    <row r="90" spans="1:48" x14ac:dyDescent="0.2">
      <c r="A90" s="9" t="str">
        <f ca="1">IF($E90="", "", INDIRECT("$D90"))</f>
        <v/>
      </c>
      <c r="B90" s="9"/>
      <c r="C90" s="10"/>
      <c r="D90" s="10"/>
      <c r="G90" s="31" t="str">
        <f t="shared" si="2"/>
        <v/>
      </c>
      <c r="J90" s="14" t="str">
        <f t="shared" si="3"/>
        <v/>
      </c>
      <c r="N90" s="13"/>
      <c r="O90" s="13"/>
      <c r="AA90" s="12"/>
      <c r="AB90" s="12"/>
      <c r="AK90" s="27"/>
      <c r="AQ90" s="12"/>
      <c r="AR90" s="12"/>
      <c r="AU90" s="30"/>
      <c r="AV90" s="12"/>
    </row>
    <row r="91" spans="1:48" x14ac:dyDescent="0.2">
      <c r="A91" s="9" t="str">
        <f ca="1">IF($E91="", "", INDIRECT("$D91"))</f>
        <v/>
      </c>
      <c r="B91" s="9"/>
      <c r="C91" s="10"/>
      <c r="D91" s="10"/>
      <c r="G91" s="31" t="str">
        <f t="shared" si="2"/>
        <v/>
      </c>
      <c r="J91" s="14" t="str">
        <f t="shared" si="3"/>
        <v/>
      </c>
      <c r="N91" s="13"/>
      <c r="O91" s="13"/>
      <c r="AA91" s="12"/>
      <c r="AB91" s="12"/>
      <c r="AK91" s="27"/>
      <c r="AQ91" s="12"/>
      <c r="AR91" s="12"/>
      <c r="AU91" s="30"/>
      <c r="AV91" s="12"/>
    </row>
    <row r="92" spans="1:48" x14ac:dyDescent="0.2">
      <c r="A92" s="9" t="str">
        <f ca="1">IF($E92="", "", INDIRECT("$D92"))</f>
        <v/>
      </c>
      <c r="B92" s="9"/>
      <c r="C92" s="10"/>
      <c r="D92" s="10"/>
      <c r="G92" s="31" t="str">
        <f t="shared" si="2"/>
        <v/>
      </c>
      <c r="J92" s="14" t="str">
        <f t="shared" si="3"/>
        <v/>
      </c>
      <c r="N92" s="13"/>
      <c r="O92" s="13"/>
      <c r="AA92" s="12"/>
      <c r="AB92" s="12"/>
      <c r="AK92" s="27"/>
      <c r="AQ92" s="12"/>
      <c r="AR92" s="12"/>
      <c r="AU92" s="30"/>
      <c r="AV92" s="12"/>
    </row>
    <row r="93" spans="1:48" x14ac:dyDescent="0.2">
      <c r="A93" s="9" t="str">
        <f ca="1">IF($E93="", "", INDIRECT("$D93"))</f>
        <v/>
      </c>
      <c r="B93" s="9"/>
      <c r="C93" s="10"/>
      <c r="D93" s="10"/>
      <c r="G93" s="31" t="str">
        <f t="shared" si="2"/>
        <v/>
      </c>
      <c r="J93" s="14" t="str">
        <f t="shared" si="3"/>
        <v/>
      </c>
      <c r="N93" s="13"/>
      <c r="O93" s="13"/>
      <c r="AA93" s="12"/>
      <c r="AB93" s="12"/>
      <c r="AK93" s="27"/>
      <c r="AQ93" s="12"/>
      <c r="AR93" s="12"/>
      <c r="AU93" s="30"/>
      <c r="AV93" s="12"/>
    </row>
    <row r="94" spans="1:48" x14ac:dyDescent="0.2">
      <c r="A94" s="9" t="str">
        <f ca="1">IF($E94="", "", INDIRECT("$D94"))</f>
        <v/>
      </c>
      <c r="B94" s="9"/>
      <c r="C94" s="10"/>
      <c r="D94" s="10"/>
      <c r="G94" s="31" t="str">
        <f t="shared" si="2"/>
        <v/>
      </c>
      <c r="J94" s="14" t="str">
        <f t="shared" si="3"/>
        <v/>
      </c>
      <c r="N94" s="13"/>
      <c r="O94" s="13"/>
      <c r="AA94" s="12"/>
      <c r="AB94" s="12"/>
      <c r="AK94" s="27"/>
      <c r="AQ94" s="12"/>
      <c r="AR94" s="12"/>
      <c r="AU94" s="30"/>
      <c r="AV94" s="12"/>
    </row>
    <row r="95" spans="1:48" x14ac:dyDescent="0.2">
      <c r="A95" s="9" t="str">
        <f ca="1">IF($E95="", "", INDIRECT("$D95"))</f>
        <v/>
      </c>
      <c r="B95" s="9"/>
      <c r="C95" s="10"/>
      <c r="D95" s="10"/>
      <c r="G95" s="31" t="str">
        <f t="shared" si="2"/>
        <v/>
      </c>
      <c r="J95" s="14" t="str">
        <f t="shared" si="3"/>
        <v/>
      </c>
      <c r="N95" s="13"/>
      <c r="O95" s="13"/>
      <c r="AA95" s="12"/>
      <c r="AB95" s="12"/>
      <c r="AK95" s="27"/>
      <c r="AQ95" s="12"/>
      <c r="AR95" s="12"/>
      <c r="AU95" s="30"/>
      <c r="AV95" s="12"/>
    </row>
    <row r="96" spans="1:48" x14ac:dyDescent="0.2">
      <c r="A96" s="9" t="str">
        <f ca="1">IF($E96="", "", INDIRECT("$D96"))</f>
        <v/>
      </c>
      <c r="B96" s="9"/>
      <c r="C96" s="10"/>
      <c r="D96" s="10"/>
      <c r="G96" s="31" t="str">
        <f t="shared" si="2"/>
        <v/>
      </c>
      <c r="J96" s="14" t="str">
        <f t="shared" si="3"/>
        <v/>
      </c>
      <c r="N96" s="13"/>
      <c r="O96" s="13"/>
      <c r="AA96" s="12"/>
      <c r="AB96" s="12"/>
      <c r="AK96" s="27"/>
      <c r="AQ96" s="12"/>
      <c r="AR96" s="12"/>
      <c r="AU96" s="30"/>
      <c r="AV96" s="12"/>
    </row>
    <row r="97" spans="1:48" x14ac:dyDescent="0.2">
      <c r="A97" s="9" t="str">
        <f ca="1">IF($E97="", "", INDIRECT("$D97"))</f>
        <v/>
      </c>
      <c r="B97" s="9"/>
      <c r="C97" s="10"/>
      <c r="D97" s="10"/>
      <c r="G97" s="31" t="str">
        <f t="shared" si="2"/>
        <v/>
      </c>
      <c r="J97" s="14" t="str">
        <f t="shared" si="3"/>
        <v/>
      </c>
      <c r="N97" s="13"/>
      <c r="O97" s="13"/>
      <c r="AA97" s="12"/>
      <c r="AB97" s="12"/>
      <c r="AJ97" s="22"/>
      <c r="AK97" s="27"/>
      <c r="AQ97" s="12"/>
      <c r="AR97" s="12"/>
      <c r="AU97" s="30"/>
      <c r="AV97" s="12"/>
    </row>
    <row r="98" spans="1:48" x14ac:dyDescent="0.2">
      <c r="A98" s="9" t="str">
        <f ca="1">IF($E98="", "", INDIRECT("$D98"))</f>
        <v/>
      </c>
      <c r="B98" s="9"/>
      <c r="C98" s="10"/>
      <c r="D98" s="10"/>
      <c r="G98" s="31" t="str">
        <f t="shared" si="2"/>
        <v/>
      </c>
      <c r="J98" s="14" t="str">
        <f t="shared" si="3"/>
        <v/>
      </c>
      <c r="N98" s="13"/>
      <c r="O98" s="13"/>
      <c r="AA98" s="12"/>
      <c r="AB98" s="12"/>
      <c r="AK98" s="27"/>
      <c r="AQ98" s="12"/>
      <c r="AR98" s="12"/>
      <c r="AU98" s="30"/>
      <c r="AV98" s="12"/>
    </row>
    <row r="99" spans="1:48" x14ac:dyDescent="0.2">
      <c r="A99" s="9" t="str">
        <f ca="1">IF($E99="", "", INDIRECT("$D99"))</f>
        <v/>
      </c>
      <c r="B99" s="9"/>
      <c r="C99" s="10"/>
      <c r="D99" s="10"/>
      <c r="G99" s="31" t="str">
        <f t="shared" si="2"/>
        <v/>
      </c>
      <c r="J99" s="14" t="str">
        <f t="shared" si="3"/>
        <v/>
      </c>
      <c r="N99" s="13"/>
      <c r="O99" s="13"/>
      <c r="AA99" s="12"/>
      <c r="AB99" s="12"/>
      <c r="AK99" s="27"/>
      <c r="AQ99" s="12"/>
      <c r="AR99" s="12"/>
      <c r="AU99" s="30"/>
      <c r="AV99" s="12"/>
    </row>
    <row r="100" spans="1:48" x14ac:dyDescent="0.2">
      <c r="A100" s="9" t="str">
        <f ca="1">IF($E100="", "", INDIRECT("$D100"))</f>
        <v/>
      </c>
      <c r="B100" s="9"/>
      <c r="C100" s="10"/>
      <c r="D100" s="10"/>
      <c r="G100" s="31" t="str">
        <f t="shared" si="2"/>
        <v/>
      </c>
      <c r="J100" s="14" t="str">
        <f t="shared" si="3"/>
        <v/>
      </c>
      <c r="N100" s="13"/>
      <c r="O100" s="13"/>
      <c r="AA100" s="12"/>
      <c r="AB100" s="12"/>
      <c r="AK100" s="27"/>
      <c r="AQ100" s="12"/>
      <c r="AR100" s="12"/>
      <c r="AU100" s="30"/>
      <c r="AV100" s="12"/>
    </row>
    <row r="101" spans="1:48" x14ac:dyDescent="0.2">
      <c r="A101" s="4"/>
      <c r="B101" s="4"/>
      <c r="C101" s="4"/>
      <c r="D101" s="4"/>
    </row>
    <row r="102" spans="1:48" x14ac:dyDescent="0.2">
      <c r="A102" s="4"/>
      <c r="B102" s="4"/>
      <c r="C102" s="4"/>
      <c r="D102" s="4"/>
    </row>
    <row r="103" spans="1:48" x14ac:dyDescent="0.2">
      <c r="A103" s="4"/>
      <c r="B103" s="4"/>
      <c r="C103" s="4"/>
      <c r="D103" s="4"/>
    </row>
    <row r="104" spans="1:48" x14ac:dyDescent="0.2">
      <c r="A104" s="4"/>
      <c r="B104" s="4"/>
      <c r="C104" s="4"/>
      <c r="D104" s="4"/>
    </row>
  </sheetData>
  <dataConsolidate/>
  <mergeCells count="9">
    <mergeCell ref="AU3:AV3"/>
    <mergeCell ref="A3:K3"/>
    <mergeCell ref="L3:P3"/>
    <mergeCell ref="Q3:T3"/>
    <mergeCell ref="U3:X3"/>
    <mergeCell ref="AQ3:AS3"/>
    <mergeCell ref="AI3:AP3"/>
    <mergeCell ref="Y3:AD3"/>
    <mergeCell ref="AE3:AH3"/>
  </mergeCells>
  <conditionalFormatting sqref="L98:P100 L9:P96 P6:P8">
    <cfRule type="notContainsBlanks" dxfId="49" priority="16">
      <formula>LEN(TRIM(L6))&gt;0</formula>
    </cfRule>
    <cfRule type="expression" dxfId="48" priority="86">
      <formula>$I6="Lab Medicine"</formula>
    </cfRule>
  </conditionalFormatting>
  <conditionalFormatting sqref="Q6:T96 Q98:T100">
    <cfRule type="notContainsBlanks" dxfId="47" priority="79">
      <formula>LEN(TRIM(Q6))&gt;0</formula>
    </cfRule>
    <cfRule type="expression" dxfId="46" priority="80">
      <formula>$P6="Submitted"</formula>
    </cfRule>
    <cfRule type="expression" dxfId="45" priority="81">
      <formula>$P6="Extracted"</formula>
    </cfRule>
  </conditionalFormatting>
  <conditionalFormatting sqref="AQ6:AV100">
    <cfRule type="notContainsBlanks" dxfId="44" priority="87">
      <formula>LEN(TRIM(AQ6))&gt;0</formula>
    </cfRule>
  </conditionalFormatting>
  <conditionalFormatting sqref="Q6:AV100">
    <cfRule type="expression" dxfId="43" priority="71">
      <formula>$P6="Stored"</formula>
    </cfRule>
  </conditionalFormatting>
  <conditionalFormatting sqref="AI6:AV6">
    <cfRule type="expression" dxfId="42" priority="56">
      <formula>$X6="Stored"</formula>
    </cfRule>
    <cfRule type="expression" dxfId="41" priority="62">
      <formula>$X6="Extracted"</formula>
    </cfRule>
  </conditionalFormatting>
  <conditionalFormatting sqref="AI6:AV100">
    <cfRule type="expression" dxfId="40" priority="17">
      <formula>$X6="Submitted"</formula>
    </cfRule>
    <cfRule type="notContainsBlanks" dxfId="39" priority="34">
      <formula>LEN(TRIM(AI6))&gt;0</formula>
    </cfRule>
    <cfRule type="expression" dxfId="38" priority="43">
      <formula>$X6="Extracted"</formula>
    </cfRule>
    <cfRule type="expression" dxfId="37" priority="55">
      <formula>$X6="Stored"</formula>
    </cfRule>
    <cfRule type="expression" dxfId="36" priority="75">
      <formula>$I6="IMF"</formula>
    </cfRule>
    <cfRule type="notContainsBlanks" dxfId="35" priority="88">
      <formula>LEN(TRIM(AI6))&gt;0</formula>
    </cfRule>
    <cfRule type="expression" dxfId="34" priority="89">
      <formula>$P6="Extracted"</formula>
    </cfRule>
    <cfRule type="expression" dxfId="33" priority="90">
      <formula>$P6="Submitted"</formula>
    </cfRule>
  </conditionalFormatting>
  <conditionalFormatting sqref="L97:P97">
    <cfRule type="notContainsBlanks" dxfId="32" priority="53">
      <formula>LEN(TRIM(L97))&gt;0</formula>
    </cfRule>
    <cfRule type="expression" dxfId="31" priority="54">
      <formula>$I97="Lab Medicine"</formula>
    </cfRule>
  </conditionalFormatting>
  <conditionalFormatting sqref="Q97:T97">
    <cfRule type="notContainsBlanks" dxfId="30" priority="50">
      <formula>LEN(TRIM(Q97))&gt;0</formula>
    </cfRule>
    <cfRule type="expression" dxfId="29" priority="51">
      <formula>$P97="Submitted"</formula>
    </cfRule>
    <cfRule type="expression" dxfId="28" priority="52">
      <formula>$P97="Extracted"</formula>
    </cfRule>
  </conditionalFormatting>
  <conditionalFormatting sqref="L97:T97 P6:T8">
    <cfRule type="expression" dxfId="27" priority="49">
      <formula>$I6="IMF"</formula>
    </cfRule>
  </conditionalFormatting>
  <conditionalFormatting sqref="U97:AH97">
    <cfRule type="notContainsBlanks" dxfId="26" priority="45">
      <formula>LEN(TRIM(U97))&gt;0</formula>
    </cfRule>
    <cfRule type="expression" dxfId="25" priority="47">
      <formula>$I97="Lab Medicine"</formula>
    </cfRule>
    <cfRule type="expression" dxfId="24" priority="48">
      <formula>$I97="IMF"</formula>
    </cfRule>
  </conditionalFormatting>
  <conditionalFormatting sqref="U6:X100">
    <cfRule type="expression" dxfId="23" priority="69">
      <formula>$I6="IMF"</formula>
    </cfRule>
  </conditionalFormatting>
  <conditionalFormatting sqref="U6:AH100">
    <cfRule type="notContainsBlanks" dxfId="22" priority="24">
      <formula>LEN(TRIM(U6))&gt;0</formula>
    </cfRule>
    <cfRule type="expression" dxfId="21" priority="64">
      <formula>$I6="Lab Medicine"</formula>
    </cfRule>
  </conditionalFormatting>
  <conditionalFormatting sqref="Y6:AH100">
    <cfRule type="expression" dxfId="20" priority="23">
      <formula>$I6="IMPACT"</formula>
    </cfRule>
    <cfRule type="expression" dxfId="19" priority="63">
      <formula>$I6="IMF"</formula>
    </cfRule>
  </conditionalFormatting>
  <conditionalFormatting sqref="L9:X100 P6:X8">
    <cfRule type="expression" dxfId="18" priority="84">
      <formula>$I6="IMPACT"</formula>
    </cfRule>
  </conditionalFormatting>
  <conditionalFormatting sqref="AI6:AP100">
    <cfRule type="expression" dxfId="17" priority="18">
      <formula>NOT(ISBLANK($AD6))</formula>
    </cfRule>
  </conditionalFormatting>
  <conditionalFormatting sqref="AQ6:AT100">
    <cfRule type="expression" dxfId="16" priority="41">
      <formula>NOT(ISBLANK($AD6))</formula>
    </cfRule>
  </conditionalFormatting>
  <conditionalFormatting sqref="L9:T100">
    <cfRule type="expression" dxfId="15" priority="22">
      <formula>$I9="IMF"</formula>
    </cfRule>
  </conditionalFormatting>
  <conditionalFormatting sqref="L6:O7">
    <cfRule type="notContainsBlanks" dxfId="14" priority="14">
      <formula>LEN(TRIM(L6))&gt;0</formula>
    </cfRule>
    <cfRule type="expression" dxfId="13" priority="15">
      <formula>$H6="Lab Medicine"</formula>
    </cfRule>
  </conditionalFormatting>
  <conditionalFormatting sqref="L6:O7">
    <cfRule type="expression" dxfId="12" priority="13">
      <formula>$H6="IMF"</formula>
    </cfRule>
  </conditionalFormatting>
  <conditionalFormatting sqref="L8:O8">
    <cfRule type="notContainsBlanks" dxfId="11" priority="11">
      <formula>LEN(TRIM(L8))&gt;0</formula>
    </cfRule>
    <cfRule type="expression" dxfId="10" priority="12">
      <formula>$H8="Lab Medicine"</formula>
    </cfRule>
  </conditionalFormatting>
  <conditionalFormatting sqref="L8:O8">
    <cfRule type="expression" dxfId="9" priority="10">
      <formula>$H8="IMF"</formula>
    </cfRule>
  </conditionalFormatting>
  <conditionalFormatting sqref="AP7:AP8">
    <cfRule type="expression" dxfId="8" priority="8">
      <formula>$X7="Stored"</formula>
    </cfRule>
    <cfRule type="expression" dxfId="7" priority="9">
      <formula>$X7="Extracted"</formula>
    </cfRule>
  </conditionalFormatting>
  <conditionalFormatting sqref="AI7:AN8">
    <cfRule type="expression" dxfId="6" priority="6">
      <formula>$X7="Stored"</formula>
    </cfRule>
    <cfRule type="expression" dxfId="5" priority="7">
      <formula>$X7="Extracted"</formula>
    </cfRule>
  </conditionalFormatting>
  <conditionalFormatting sqref="AE6:AL100">
    <cfRule type="expression" dxfId="4" priority="5">
      <formula>$X6="Extracted"</formula>
    </cfRule>
  </conditionalFormatting>
  <conditionalFormatting sqref="AO6:AV100">
    <cfRule type="expression" dxfId="3" priority="4">
      <formula>$X6="Extracted"</formula>
    </cfRule>
  </conditionalFormatting>
  <conditionalFormatting sqref="AM6:AN100">
    <cfRule type="expression" dxfId="2" priority="3">
      <formula>$X6="Extracted"</formula>
    </cfRule>
  </conditionalFormatting>
  <conditionalFormatting sqref="AE6:AH100">
    <cfRule type="expression" dxfId="1" priority="1">
      <formula>$X6="Stored"</formula>
    </cfRule>
    <cfRule type="expression" dxfId="0" priority="2">
      <formula>$X6="Submitted"</formula>
    </cfRule>
  </conditionalFormatting>
  <dataValidations count="11">
    <dataValidation allowBlank="1" showInputMessage="1" sqref="AR4:AT4 AR1:AT2 AR153:AT1048576" xr:uid="{B302C267-FF86-8246-A57D-8B14C4A1BB91}"/>
    <dataValidation type="date" allowBlank="1" showInputMessage="1" showErrorMessage="1" sqref="V6:V104 AK101:AK104 W100:W104 N6:N104 AJ6:AJ104" xr:uid="{F014844E-A375-E047-AD42-7B2D38C0FAF6}">
      <formula1>43101</formula1>
      <formula2>45658</formula2>
    </dataValidation>
    <dataValidation type="decimal" allowBlank="1" showInputMessage="1" showErrorMessage="1" sqref="Q6:T104 X101:X104 Z101:Z104 AB101:AH104 AA102:AA104" xr:uid="{CCE98E26-B97B-404B-B046-C1395DF17207}">
      <formula1>0</formula1>
      <formula2>5000</formula2>
    </dataValidation>
    <dataValidation showInputMessage="1" showErrorMessage="1" sqref="F101:H104" xr:uid="{B85D0EB6-619A-094D-9255-7887E9543635}"/>
    <dataValidation type="list" allowBlank="1" showInputMessage="1" showErrorMessage="1" sqref="I101:I104" xr:uid="{40FE140F-1F8C-F147-953F-F40162691080}">
      <formula1>$E$3:$E$5</formula1>
    </dataValidation>
    <dataValidation type="list" allowBlank="1" showInputMessage="1" showErrorMessage="1" sqref="AS101:AT104" xr:uid="{5126BD91-F233-1E46-BAF4-260555B66115}">
      <formula1>$K$3:$K$4</formula1>
    </dataValidation>
    <dataValidation type="list" allowBlank="1" showInputMessage="1" showErrorMessage="1" sqref="U101:U104" xr:uid="{12921AED-1B7E-1242-8CD6-7C28014B98F8}">
      <formula1>$N$3:$N$10</formula1>
    </dataValidation>
    <dataValidation type="whole" allowBlank="1" showInputMessage="1" showErrorMessage="1" sqref="W6:W99 AK6:AK100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O6:AO10" xr:uid="{CA7B58DC-BFA5-1F40-8C2A-9A15CC6A106B}">
      <formula1>COUNTIF($C:$C,AO5)=1</formula1>
    </dataValidation>
    <dataValidation type="date" allowBlank="1" showInputMessage="1" showErrorMessage="1" sqref="Z6:Z100 AD6:AD100 AF6:AF100" xr:uid="{7044A146-37D7-AB4B-9F51-BBAA22D501F1}">
      <formula1>1</formula1>
      <formula2>54789</formula2>
    </dataValidation>
    <dataValidation type="decimal" allowBlank="1" showInputMessage="1" showErrorMessage="1" sqref="AG6:AH100" xr:uid="{FFE49F10-30D4-F04B-AC10-423CF5A0C75D}">
      <formula1>0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4</xdr:col>
                    <xdr:colOff>50800</xdr:colOff>
                    <xdr:row>0</xdr:row>
                    <xdr:rowOff>50800</xdr:rowOff>
                  </from>
                  <to>
                    <xdr:col>5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424399D5-F4BF-3F46-9705-5FC52A953A2A}">
          <x14:formula1>
            <xm:f>Validations!$E$3:$E$5</xm:f>
          </x14:formula1>
          <xm:sqref>J5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S5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U5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V5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AJ5:AK5 AE6:AE100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AL5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AS5:AT5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AR5:AT5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AY5:AY104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AI5 G6:G100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BI5:BI104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BL5:BL104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BN5:BN104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BU5:BU104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AL6:AL104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P5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P101:P104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P6:P100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X6:X100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H6:H100</xm:sqref>
        </x14:dataValidation>
        <x14:dataValidation type="list" allowBlank="1" showInputMessage="1" showErrorMessage="1" xr:uid="{21353ECB-20A2-D544-8155-AAE9B04464DC}">
          <x14:formula1>
            <xm:f>Validations!$E$3:$E$6</xm:f>
          </x14:formula1>
          <xm:sqref>I6:I100</xm:sqref>
        </x14:dataValidation>
        <x14:dataValidation type="list" showInputMessage="1" showErrorMessage="1" xr:uid="{0DCE0FD2-8A64-494C-9BC3-DF12F1373896}">
          <x14:formula1>
            <xm:f>Validations!$G$3:$G$14</xm:f>
          </x14:formula1>
          <xm:sqref>K5</xm:sqref>
        </x14:dataValidation>
        <x14:dataValidation type="list" showInputMessage="1" showErrorMessage="1" xr:uid="{CCF0A5B9-16A2-F745-A436-0FF8BFB33562}">
          <x14:formula1>
            <xm:f>Validations!$G$3:$G$9</xm:f>
          </x14:formula1>
          <xm:sqref>K6:K104</xm:sqref>
        </x14:dataValidation>
        <x14:dataValidation type="list" allowBlank="1" showInputMessage="1" showErrorMessage="1" xr:uid="{68690072-EA5B-3643-A9EA-AA4E2315C025}">
          <x14:formula1>
            <xm:f>Validations!$H$3:$H$3</xm:f>
          </x14:formula1>
          <xm:sqref>L5</xm:sqref>
        </x14:dataValidation>
        <x14:dataValidation type="list" allowBlank="1" showInputMessage="1" showErrorMessage="1" xr:uid="{A648120F-459F-C243-9954-CE56423C5126}">
          <x14:formula1>
            <xm:f>Validations!$H$3:$H$4</xm:f>
          </x14:formula1>
          <xm:sqref>AI6:AI104</xm:sqref>
        </x14:dataValidation>
        <x14:dataValidation type="list" allowBlank="1" showInputMessage="1" showErrorMessage="1" xr:uid="{83667B9F-07A3-D74C-B4CF-9AA50DBFB5EC}">
          <x14:formula1>
            <xm:f>Validations!$J$3:$J$5</xm:f>
          </x14:formula1>
          <xm:sqref>N5 AS6:AS100</xm:sqref>
        </x14:dataValidation>
        <x14:dataValidation type="list" allowBlank="1" showInputMessage="1" showErrorMessage="1" xr:uid="{CFD563FC-EDA3-2848-9DE2-4CDDE94FF959}">
          <x14:formula1>
            <xm:f>Validations!$F$3:$F$6</xm:f>
          </x14:formula1>
          <xm:sqref>J6:J104</xm:sqref>
        </x14:dataValidation>
        <x14:dataValidation type="list" showInputMessage="1" showErrorMessage="1" xr:uid="{A73BA37C-3CAF-DC45-B692-B70298513C16}">
          <x14:formula1>
            <xm:f>Validations!$B$3:$B$153</xm:f>
          </x14:formula1>
          <xm:sqref>F5:H5 E5:E104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AP6:AP100</xm:sqref>
        </x14:dataValidation>
        <x14:dataValidation type="list" allowBlank="1" showInputMessage="1" showErrorMessage="1" xr:uid="{1248B1AC-CDE9-0C4E-B160-5F943DD0E800}">
          <x14:formula1>
            <xm:f>Validations!$Q$3:$Q$5</xm:f>
          </x14:formula1>
          <xm:sqref>D6:D100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Q152"/>
  <sheetViews>
    <sheetView topLeftCell="I1" workbookViewId="0">
      <selection activeCell="Q5" sqref="Q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7" s="3" customFormat="1" x14ac:dyDescent="0.2">
      <c r="A2" s="3" t="s">
        <v>1</v>
      </c>
      <c r="B2" s="3" t="s">
        <v>0</v>
      </c>
      <c r="C2" s="3" t="s">
        <v>157</v>
      </c>
      <c r="D2" s="3" t="s">
        <v>142</v>
      </c>
      <c r="E2" s="3" t="s">
        <v>109</v>
      </c>
      <c r="F2" s="3" t="s">
        <v>116</v>
      </c>
      <c r="G2" s="3" t="s">
        <v>112</v>
      </c>
      <c r="H2" s="3" t="s">
        <v>2</v>
      </c>
      <c r="I2" s="3" t="s">
        <v>106</v>
      </c>
      <c r="J2" s="3" t="s">
        <v>149</v>
      </c>
      <c r="K2" s="3" t="s">
        <v>145</v>
      </c>
      <c r="L2" s="3" t="s">
        <v>126</v>
      </c>
      <c r="M2" s="3" t="s">
        <v>152</v>
      </c>
      <c r="N2" s="3" t="s">
        <v>165</v>
      </c>
      <c r="O2" s="5" t="s">
        <v>173</v>
      </c>
      <c r="P2" s="5" t="s">
        <v>196</v>
      </c>
      <c r="Q2" s="3" t="s">
        <v>251</v>
      </c>
    </row>
    <row r="3" spans="1:17" x14ac:dyDescent="0.2">
      <c r="B3" s="1" t="s">
        <v>6</v>
      </c>
      <c r="C3" s="1" t="s">
        <v>158</v>
      </c>
      <c r="D3" s="1" t="s">
        <v>143</v>
      </c>
      <c r="E3" s="1" t="s">
        <v>110</v>
      </c>
      <c r="F3" s="1" t="s">
        <v>117</v>
      </c>
      <c r="G3" s="1" t="s">
        <v>113</v>
      </c>
      <c r="H3" s="1" t="s">
        <v>134</v>
      </c>
      <c r="I3" s="1" t="s">
        <v>107</v>
      </c>
      <c r="J3" s="1" t="s">
        <v>150</v>
      </c>
      <c r="K3" s="1" t="s">
        <v>140</v>
      </c>
      <c r="L3" s="1" t="s">
        <v>140</v>
      </c>
      <c r="M3" s="1" t="s">
        <v>140</v>
      </c>
      <c r="N3" s="1" t="s">
        <v>168</v>
      </c>
      <c r="O3" s="1" t="s">
        <v>174</v>
      </c>
      <c r="P3" s="1" t="s">
        <v>200</v>
      </c>
      <c r="Q3" s="1" t="s">
        <v>252</v>
      </c>
    </row>
    <row r="4" spans="1:17" x14ac:dyDescent="0.2">
      <c r="B4" s="1" t="s">
        <v>7</v>
      </c>
      <c r="C4" s="1" t="s">
        <v>159</v>
      </c>
      <c r="D4" s="1" t="s">
        <v>144</v>
      </c>
      <c r="E4" s="1" t="s">
        <v>111</v>
      </c>
      <c r="F4" s="1" t="s">
        <v>189</v>
      </c>
      <c r="G4" s="1" t="s">
        <v>114</v>
      </c>
      <c r="I4" s="1" t="s">
        <v>108</v>
      </c>
      <c r="J4" s="1" t="s">
        <v>151</v>
      </c>
      <c r="K4" s="1" t="s">
        <v>147</v>
      </c>
      <c r="L4" s="1" t="s">
        <v>135</v>
      </c>
      <c r="M4" s="1" t="s">
        <v>147</v>
      </c>
      <c r="N4" s="1" t="s">
        <v>169</v>
      </c>
      <c r="O4" s="1" t="s">
        <v>175</v>
      </c>
      <c r="Q4" s="1" t="s">
        <v>253</v>
      </c>
    </row>
    <row r="5" spans="1:17" x14ac:dyDescent="0.2">
      <c r="B5" s="1" t="s">
        <v>8</v>
      </c>
      <c r="E5" s="1" t="s">
        <v>176</v>
      </c>
      <c r="F5" s="1" t="s">
        <v>118</v>
      </c>
      <c r="G5" s="1" t="s">
        <v>115</v>
      </c>
      <c r="K5" s="1" t="s">
        <v>148</v>
      </c>
      <c r="M5" s="1" t="s">
        <v>148</v>
      </c>
      <c r="N5" s="1" t="s">
        <v>166</v>
      </c>
    </row>
    <row r="6" spans="1:17" x14ac:dyDescent="0.2">
      <c r="B6" s="1" t="s">
        <v>9</v>
      </c>
      <c r="G6" s="1" t="s">
        <v>188</v>
      </c>
      <c r="N6" s="1" t="s">
        <v>167</v>
      </c>
    </row>
    <row r="7" spans="1:17" x14ac:dyDescent="0.2">
      <c r="B7" s="1" t="s">
        <v>10</v>
      </c>
      <c r="G7" s="1" t="s">
        <v>186</v>
      </c>
      <c r="N7" s="1" t="s">
        <v>171</v>
      </c>
    </row>
    <row r="8" spans="1:17" x14ac:dyDescent="0.2">
      <c r="B8" s="1" t="s">
        <v>11</v>
      </c>
      <c r="G8" s="1" t="s">
        <v>187</v>
      </c>
      <c r="N8" s="1" t="s">
        <v>170</v>
      </c>
    </row>
    <row r="9" spans="1:17" x14ac:dyDescent="0.2">
      <c r="B9" s="1" t="s">
        <v>12</v>
      </c>
    </row>
    <row r="10" spans="1:17" x14ac:dyDescent="0.2">
      <c r="B10" s="1" t="s">
        <v>13</v>
      </c>
    </row>
    <row r="11" spans="1:17" x14ac:dyDescent="0.2">
      <c r="B11" s="1" t="s">
        <v>14</v>
      </c>
    </row>
    <row r="12" spans="1:17" x14ac:dyDescent="0.2">
      <c r="B12" s="1" t="s">
        <v>15</v>
      </c>
    </row>
    <row r="13" spans="1:17" x14ac:dyDescent="0.2">
      <c r="B13" s="1" t="s">
        <v>16</v>
      </c>
    </row>
    <row r="14" spans="1:17" x14ac:dyDescent="0.2">
      <c r="B14" s="1" t="s">
        <v>17</v>
      </c>
    </row>
    <row r="15" spans="1:17" x14ac:dyDescent="0.2">
      <c r="B15" s="1" t="s">
        <v>18</v>
      </c>
    </row>
    <row r="16" spans="1:17" x14ac:dyDescent="0.2">
      <c r="B16" s="1" t="s">
        <v>19</v>
      </c>
    </row>
    <row r="17" spans="2:2" x14ac:dyDescent="0.2">
      <c r="B17" s="1" t="s">
        <v>20</v>
      </c>
    </row>
    <row r="18" spans="2:2" x14ac:dyDescent="0.2">
      <c r="B18" s="1" t="s">
        <v>21</v>
      </c>
    </row>
    <row r="19" spans="2:2" x14ac:dyDescent="0.2">
      <c r="B19" s="1" t="s">
        <v>22</v>
      </c>
    </row>
    <row r="20" spans="2:2" x14ac:dyDescent="0.2">
      <c r="B20" s="1" t="s">
        <v>23</v>
      </c>
    </row>
    <row r="21" spans="2:2" x14ac:dyDescent="0.2">
      <c r="B21" s="1" t="s">
        <v>24</v>
      </c>
    </row>
    <row r="22" spans="2:2" x14ac:dyDescent="0.2">
      <c r="B22" s="1" t="s">
        <v>25</v>
      </c>
    </row>
    <row r="23" spans="2:2" x14ac:dyDescent="0.2">
      <c r="B23" s="1" t="s">
        <v>26</v>
      </c>
    </row>
    <row r="24" spans="2:2" x14ac:dyDescent="0.2">
      <c r="B24" s="1" t="s">
        <v>27</v>
      </c>
    </row>
    <row r="25" spans="2:2" x14ac:dyDescent="0.2">
      <c r="B25" s="1" t="s">
        <v>28</v>
      </c>
    </row>
    <row r="26" spans="2:2" x14ac:dyDescent="0.2">
      <c r="B26" s="1" t="s">
        <v>29</v>
      </c>
    </row>
    <row r="27" spans="2:2" x14ac:dyDescent="0.2">
      <c r="B27" s="1" t="s">
        <v>30</v>
      </c>
    </row>
    <row r="28" spans="2:2" x14ac:dyDescent="0.2">
      <c r="B28" s="1" t="s">
        <v>31</v>
      </c>
    </row>
    <row r="29" spans="2:2" x14ac:dyDescent="0.2">
      <c r="B29" s="1" t="s">
        <v>32</v>
      </c>
    </row>
    <row r="30" spans="2:2" x14ac:dyDescent="0.2">
      <c r="B30" s="1" t="s">
        <v>33</v>
      </c>
    </row>
    <row r="31" spans="2:2" x14ac:dyDescent="0.2">
      <c r="B31" s="1" t="s">
        <v>34</v>
      </c>
    </row>
    <row r="32" spans="2:2" x14ac:dyDescent="0.2">
      <c r="B32" s="1" t="s">
        <v>35</v>
      </c>
    </row>
    <row r="33" spans="2:2" x14ac:dyDescent="0.2">
      <c r="B33" s="1" t="s">
        <v>36</v>
      </c>
    </row>
    <row r="34" spans="2:2" x14ac:dyDescent="0.2">
      <c r="B34" s="1" t="s">
        <v>37</v>
      </c>
    </row>
    <row r="35" spans="2:2" x14ac:dyDescent="0.2">
      <c r="B35" s="1" t="s">
        <v>38</v>
      </c>
    </row>
    <row r="36" spans="2:2" x14ac:dyDescent="0.2">
      <c r="B36" s="1" t="s">
        <v>39</v>
      </c>
    </row>
    <row r="37" spans="2:2" x14ac:dyDescent="0.2">
      <c r="B37" s="1" t="s">
        <v>40</v>
      </c>
    </row>
    <row r="38" spans="2:2" x14ac:dyDescent="0.2">
      <c r="B38" s="1" t="s">
        <v>41</v>
      </c>
    </row>
    <row r="39" spans="2:2" x14ac:dyDescent="0.2">
      <c r="B39" s="1" t="s">
        <v>42</v>
      </c>
    </row>
    <row r="40" spans="2:2" x14ac:dyDescent="0.2">
      <c r="B40" s="1" t="s">
        <v>43</v>
      </c>
    </row>
    <row r="41" spans="2:2" x14ac:dyDescent="0.2">
      <c r="B41" s="1" t="s">
        <v>44</v>
      </c>
    </row>
    <row r="42" spans="2:2" x14ac:dyDescent="0.2">
      <c r="B42" s="1" t="s">
        <v>45</v>
      </c>
    </row>
    <row r="43" spans="2:2" x14ac:dyDescent="0.2">
      <c r="B43" s="1" t="s">
        <v>46</v>
      </c>
    </row>
    <row r="44" spans="2:2" x14ac:dyDescent="0.2">
      <c r="B44" s="1" t="s">
        <v>47</v>
      </c>
    </row>
    <row r="45" spans="2:2" x14ac:dyDescent="0.2">
      <c r="B45" s="1" t="s">
        <v>48</v>
      </c>
    </row>
    <row r="46" spans="2:2" x14ac:dyDescent="0.2">
      <c r="B46" s="1" t="s">
        <v>49</v>
      </c>
    </row>
    <row r="47" spans="2:2" x14ac:dyDescent="0.2">
      <c r="B47" s="1" t="s">
        <v>50</v>
      </c>
    </row>
    <row r="48" spans="2:2" x14ac:dyDescent="0.2">
      <c r="B48" s="1" t="s">
        <v>51</v>
      </c>
    </row>
    <row r="49" spans="2:2" x14ac:dyDescent="0.2">
      <c r="B49" s="1" t="s">
        <v>52</v>
      </c>
    </row>
    <row r="50" spans="2:2" x14ac:dyDescent="0.2">
      <c r="B50" s="1" t="s">
        <v>53</v>
      </c>
    </row>
    <row r="51" spans="2:2" x14ac:dyDescent="0.2">
      <c r="B51" s="1" t="s">
        <v>54</v>
      </c>
    </row>
    <row r="52" spans="2:2" x14ac:dyDescent="0.2">
      <c r="B52" s="1" t="s">
        <v>55</v>
      </c>
    </row>
    <row r="53" spans="2:2" x14ac:dyDescent="0.2">
      <c r="B53" s="1" t="s">
        <v>56</v>
      </c>
    </row>
    <row r="54" spans="2:2" x14ac:dyDescent="0.2">
      <c r="B54" s="1" t="s">
        <v>57</v>
      </c>
    </row>
    <row r="55" spans="2:2" x14ac:dyDescent="0.2">
      <c r="B55" s="1" t="s">
        <v>58</v>
      </c>
    </row>
    <row r="56" spans="2:2" x14ac:dyDescent="0.2">
      <c r="B56" s="1" t="s">
        <v>59</v>
      </c>
    </row>
    <row r="57" spans="2:2" x14ac:dyDescent="0.2">
      <c r="B57" s="1" t="s">
        <v>60</v>
      </c>
    </row>
    <row r="58" spans="2:2" x14ac:dyDescent="0.2">
      <c r="B58" s="1" t="s">
        <v>61</v>
      </c>
    </row>
    <row r="59" spans="2:2" x14ac:dyDescent="0.2">
      <c r="B59" s="1" t="s">
        <v>62</v>
      </c>
    </row>
    <row r="60" spans="2:2" x14ac:dyDescent="0.2">
      <c r="B60" s="1" t="s">
        <v>63</v>
      </c>
    </row>
    <row r="61" spans="2:2" x14ac:dyDescent="0.2">
      <c r="B61" s="1" t="s">
        <v>64</v>
      </c>
    </row>
    <row r="62" spans="2:2" x14ac:dyDescent="0.2">
      <c r="B62" s="1" t="s">
        <v>65</v>
      </c>
    </row>
    <row r="63" spans="2:2" x14ac:dyDescent="0.2">
      <c r="B63" s="1" t="s">
        <v>66</v>
      </c>
    </row>
    <row r="64" spans="2:2" x14ac:dyDescent="0.2">
      <c r="B64" s="1" t="s">
        <v>67</v>
      </c>
    </row>
    <row r="65" spans="2:2" x14ac:dyDescent="0.2">
      <c r="B65" s="1" t="s">
        <v>68</v>
      </c>
    </row>
    <row r="66" spans="2:2" x14ac:dyDescent="0.2">
      <c r="B66" s="1" t="s">
        <v>69</v>
      </c>
    </row>
    <row r="67" spans="2:2" x14ac:dyDescent="0.2">
      <c r="B67" s="1" t="s">
        <v>70</v>
      </c>
    </row>
    <row r="68" spans="2:2" x14ac:dyDescent="0.2">
      <c r="B68" s="1" t="s">
        <v>71</v>
      </c>
    </row>
    <row r="69" spans="2:2" x14ac:dyDescent="0.2">
      <c r="B69" s="1" t="s">
        <v>72</v>
      </c>
    </row>
    <row r="70" spans="2:2" x14ac:dyDescent="0.2">
      <c r="B70" s="1" t="s">
        <v>73</v>
      </c>
    </row>
    <row r="71" spans="2:2" x14ac:dyDescent="0.2">
      <c r="B71" s="1" t="s">
        <v>74</v>
      </c>
    </row>
    <row r="72" spans="2:2" x14ac:dyDescent="0.2">
      <c r="B72" s="1" t="s">
        <v>75</v>
      </c>
    </row>
    <row r="73" spans="2:2" x14ac:dyDescent="0.2">
      <c r="B73" s="1" t="s">
        <v>76</v>
      </c>
    </row>
    <row r="74" spans="2:2" x14ac:dyDescent="0.2">
      <c r="B74" s="1" t="s">
        <v>77</v>
      </c>
    </row>
    <row r="75" spans="2:2" x14ac:dyDescent="0.2">
      <c r="B75" s="1" t="s">
        <v>78</v>
      </c>
    </row>
    <row r="76" spans="2:2" x14ac:dyDescent="0.2">
      <c r="B76" s="1" t="s">
        <v>79</v>
      </c>
    </row>
    <row r="77" spans="2:2" x14ac:dyDescent="0.2">
      <c r="B77" s="1" t="s">
        <v>80</v>
      </c>
    </row>
    <row r="78" spans="2:2" x14ac:dyDescent="0.2">
      <c r="B78" s="1" t="s">
        <v>81</v>
      </c>
    </row>
    <row r="79" spans="2:2" x14ac:dyDescent="0.2">
      <c r="B79" s="1" t="s">
        <v>82</v>
      </c>
    </row>
    <row r="80" spans="2:2" x14ac:dyDescent="0.2">
      <c r="B80" s="1" t="s">
        <v>83</v>
      </c>
    </row>
    <row r="81" spans="2:2" x14ac:dyDescent="0.2">
      <c r="B81" s="1" t="s">
        <v>84</v>
      </c>
    </row>
    <row r="82" spans="2:2" x14ac:dyDescent="0.2">
      <c r="B82" s="1" t="s">
        <v>85</v>
      </c>
    </row>
    <row r="83" spans="2:2" x14ac:dyDescent="0.2">
      <c r="B83" s="1" t="s">
        <v>86</v>
      </c>
    </row>
    <row r="84" spans="2:2" x14ac:dyDescent="0.2">
      <c r="B84" s="1" t="s">
        <v>87</v>
      </c>
    </row>
    <row r="85" spans="2:2" x14ac:dyDescent="0.2">
      <c r="B85" s="1" t="s">
        <v>88</v>
      </c>
    </row>
    <row r="86" spans="2:2" x14ac:dyDescent="0.2">
      <c r="B86" s="1" t="s">
        <v>89</v>
      </c>
    </row>
    <row r="87" spans="2:2" x14ac:dyDescent="0.2">
      <c r="B87" s="1" t="s">
        <v>90</v>
      </c>
    </row>
    <row r="88" spans="2:2" x14ac:dyDescent="0.2">
      <c r="B88" s="1" t="s">
        <v>91</v>
      </c>
    </row>
    <row r="89" spans="2:2" x14ac:dyDescent="0.2">
      <c r="B89" s="1" t="s">
        <v>92</v>
      </c>
    </row>
    <row r="90" spans="2:2" x14ac:dyDescent="0.2">
      <c r="B90" s="1" t="s">
        <v>93</v>
      </c>
    </row>
    <row r="91" spans="2:2" x14ac:dyDescent="0.2">
      <c r="B91" s="1" t="s">
        <v>94</v>
      </c>
    </row>
    <row r="92" spans="2:2" x14ac:dyDescent="0.2">
      <c r="B92" s="1" t="s">
        <v>95</v>
      </c>
    </row>
    <row r="93" spans="2:2" x14ac:dyDescent="0.2">
      <c r="B93" s="1" t="s">
        <v>96</v>
      </c>
    </row>
    <row r="94" spans="2:2" x14ac:dyDescent="0.2">
      <c r="B94" s="1" t="s">
        <v>97</v>
      </c>
    </row>
    <row r="95" spans="2:2" x14ac:dyDescent="0.2">
      <c r="B95" s="1" t="s">
        <v>98</v>
      </c>
    </row>
    <row r="96" spans="2:2" x14ac:dyDescent="0.2">
      <c r="B96" s="1" t="s">
        <v>99</v>
      </c>
    </row>
    <row r="97" spans="2:2" x14ac:dyDescent="0.2">
      <c r="B97" s="1" t="s">
        <v>100</v>
      </c>
    </row>
    <row r="98" spans="2:2" x14ac:dyDescent="0.2">
      <c r="B98" s="1" t="s">
        <v>101</v>
      </c>
    </row>
    <row r="99" spans="2:2" x14ac:dyDescent="0.2">
      <c r="B99" s="1" t="s">
        <v>102</v>
      </c>
    </row>
    <row r="100" spans="2:2" x14ac:dyDescent="0.2">
      <c r="B100" s="1" t="s">
        <v>103</v>
      </c>
    </row>
    <row r="101" spans="2:2" x14ac:dyDescent="0.2">
      <c r="B101" s="1" t="s">
        <v>104</v>
      </c>
    </row>
    <row r="102" spans="2:2" x14ac:dyDescent="0.2">
      <c r="B102" s="1" t="s">
        <v>105</v>
      </c>
    </row>
    <row r="103" spans="2:2" x14ac:dyDescent="0.2">
      <c r="B103" s="1" t="s">
        <v>201</v>
      </c>
    </row>
    <row r="104" spans="2:2" x14ac:dyDescent="0.2">
      <c r="B104" s="1" t="s">
        <v>202</v>
      </c>
    </row>
    <row r="105" spans="2:2" x14ac:dyDescent="0.2">
      <c r="B105" s="1" t="s">
        <v>203</v>
      </c>
    </row>
    <row r="106" spans="2:2" x14ac:dyDescent="0.2">
      <c r="B106" s="1" t="s">
        <v>204</v>
      </c>
    </row>
    <row r="107" spans="2:2" x14ac:dyDescent="0.2">
      <c r="B107" s="1" t="s">
        <v>205</v>
      </c>
    </row>
    <row r="108" spans="2:2" x14ac:dyDescent="0.2">
      <c r="B108" s="1" t="s">
        <v>206</v>
      </c>
    </row>
    <row r="109" spans="2:2" x14ac:dyDescent="0.2">
      <c r="B109" s="1" t="s">
        <v>207</v>
      </c>
    </row>
    <row r="110" spans="2:2" x14ac:dyDescent="0.2">
      <c r="B110" s="1" t="s">
        <v>208</v>
      </c>
    </row>
    <row r="111" spans="2:2" x14ac:dyDescent="0.2">
      <c r="B111" s="1" t="s">
        <v>209</v>
      </c>
    </row>
    <row r="112" spans="2:2" x14ac:dyDescent="0.2">
      <c r="B112" s="1" t="s">
        <v>210</v>
      </c>
    </row>
    <row r="113" spans="2:2" x14ac:dyDescent="0.2">
      <c r="B113" s="1" t="s">
        <v>211</v>
      </c>
    </row>
    <row r="114" spans="2:2" x14ac:dyDescent="0.2">
      <c r="B114" s="1" t="s">
        <v>212</v>
      </c>
    </row>
    <row r="115" spans="2:2" x14ac:dyDescent="0.2">
      <c r="B115" s="1" t="s">
        <v>213</v>
      </c>
    </row>
    <row r="116" spans="2:2" x14ac:dyDescent="0.2">
      <c r="B116" s="1" t="s">
        <v>214</v>
      </c>
    </row>
    <row r="117" spans="2:2" x14ac:dyDescent="0.2">
      <c r="B117" s="1" t="s">
        <v>215</v>
      </c>
    </row>
    <row r="118" spans="2:2" x14ac:dyDescent="0.2">
      <c r="B118" s="1" t="s">
        <v>216</v>
      </c>
    </row>
    <row r="119" spans="2:2" x14ac:dyDescent="0.2">
      <c r="B119" s="1" t="s">
        <v>217</v>
      </c>
    </row>
    <row r="120" spans="2:2" x14ac:dyDescent="0.2">
      <c r="B120" s="1" t="s">
        <v>218</v>
      </c>
    </row>
    <row r="121" spans="2:2" x14ac:dyDescent="0.2">
      <c r="B121" s="1" t="s">
        <v>219</v>
      </c>
    </row>
    <row r="122" spans="2:2" x14ac:dyDescent="0.2">
      <c r="B122" s="1" t="s">
        <v>220</v>
      </c>
    </row>
    <row r="123" spans="2:2" x14ac:dyDescent="0.2">
      <c r="B123" s="1" t="s">
        <v>221</v>
      </c>
    </row>
    <row r="124" spans="2:2" x14ac:dyDescent="0.2">
      <c r="B124" s="1" t="s">
        <v>222</v>
      </c>
    </row>
    <row r="125" spans="2:2" x14ac:dyDescent="0.2">
      <c r="B125" s="1" t="s">
        <v>223</v>
      </c>
    </row>
    <row r="126" spans="2:2" x14ac:dyDescent="0.2">
      <c r="B126" s="1" t="s">
        <v>224</v>
      </c>
    </row>
    <row r="127" spans="2:2" x14ac:dyDescent="0.2">
      <c r="B127" s="1" t="s">
        <v>225</v>
      </c>
    </row>
    <row r="128" spans="2:2" x14ac:dyDescent="0.2">
      <c r="B128" s="1" t="s">
        <v>226</v>
      </c>
    </row>
    <row r="129" spans="2:2" x14ac:dyDescent="0.2">
      <c r="B129" s="1" t="s">
        <v>227</v>
      </c>
    </row>
    <row r="130" spans="2:2" x14ac:dyDescent="0.2">
      <c r="B130" s="1" t="s">
        <v>228</v>
      </c>
    </row>
    <row r="131" spans="2:2" x14ac:dyDescent="0.2">
      <c r="B131" s="1" t="s">
        <v>229</v>
      </c>
    </row>
    <row r="132" spans="2:2" x14ac:dyDescent="0.2">
      <c r="B132" s="1" t="s">
        <v>230</v>
      </c>
    </row>
    <row r="133" spans="2:2" x14ac:dyDescent="0.2">
      <c r="B133" s="1" t="s">
        <v>231</v>
      </c>
    </row>
    <row r="134" spans="2:2" x14ac:dyDescent="0.2">
      <c r="B134" s="1" t="s">
        <v>232</v>
      </c>
    </row>
    <row r="135" spans="2:2" x14ac:dyDescent="0.2">
      <c r="B135" s="1" t="s">
        <v>233</v>
      </c>
    </row>
    <row r="136" spans="2:2" x14ac:dyDescent="0.2">
      <c r="B136" s="1" t="s">
        <v>234</v>
      </c>
    </row>
    <row r="137" spans="2:2" x14ac:dyDescent="0.2">
      <c r="B137" s="1" t="s">
        <v>235</v>
      </c>
    </row>
    <row r="138" spans="2:2" x14ac:dyDescent="0.2">
      <c r="B138" s="1" t="s">
        <v>236</v>
      </c>
    </row>
    <row r="139" spans="2:2" x14ac:dyDescent="0.2">
      <c r="B139" s="1" t="s">
        <v>237</v>
      </c>
    </row>
    <row r="140" spans="2:2" x14ac:dyDescent="0.2">
      <c r="B140" s="1" t="s">
        <v>238</v>
      </c>
    </row>
    <row r="141" spans="2:2" x14ac:dyDescent="0.2">
      <c r="B141" s="1" t="s">
        <v>239</v>
      </c>
    </row>
    <row r="142" spans="2:2" x14ac:dyDescent="0.2">
      <c r="B142" s="1" t="s">
        <v>240</v>
      </c>
    </row>
    <row r="143" spans="2:2" x14ac:dyDescent="0.2">
      <c r="B143" s="1" t="s">
        <v>241</v>
      </c>
    </row>
    <row r="144" spans="2:2" x14ac:dyDescent="0.2">
      <c r="B144" s="1" t="s">
        <v>242</v>
      </c>
    </row>
    <row r="145" spans="2:2" x14ac:dyDescent="0.2">
      <c r="B145" s="1" t="s">
        <v>243</v>
      </c>
    </row>
    <row r="146" spans="2:2" x14ac:dyDescent="0.2">
      <c r="B146" s="1" t="s">
        <v>244</v>
      </c>
    </row>
    <row r="147" spans="2:2" x14ac:dyDescent="0.2">
      <c r="B147" s="1" t="s">
        <v>245</v>
      </c>
    </row>
    <row r="148" spans="2:2" x14ac:dyDescent="0.2">
      <c r="B148" s="1" t="s">
        <v>246</v>
      </c>
    </row>
    <row r="149" spans="2:2" x14ac:dyDescent="0.2">
      <c r="B149" s="1" t="s">
        <v>247</v>
      </c>
    </row>
    <row r="150" spans="2:2" x14ac:dyDescent="0.2">
      <c r="B150" s="1" t="s">
        <v>248</v>
      </c>
    </row>
    <row r="151" spans="2:2" x14ac:dyDescent="0.2">
      <c r="B151" s="1" t="s">
        <v>249</v>
      </c>
    </row>
    <row r="152" spans="2:2" x14ac:dyDescent="0.2">
      <c r="B152" s="1" t="s">
        <v>250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W104"/>
  <sheetViews>
    <sheetView zoomScale="110" zoomScaleNormal="110" workbookViewId="0">
      <selection activeCell="E12" sqref="E12"/>
    </sheetView>
  </sheetViews>
  <sheetFormatPr baseColWidth="10" defaultRowHeight="16" x14ac:dyDescent="0.2"/>
  <cols>
    <col min="3" max="4" width="8.5" customWidth="1"/>
    <col min="7" max="7" width="13.1640625" bestFit="1" customWidth="1"/>
    <col min="9" max="9" width="18.5" bestFit="1" customWidth="1"/>
    <col min="10" max="10" width="13.83203125" bestFit="1" customWidth="1"/>
    <col min="11" max="11" width="11.83203125" bestFit="1" customWidth="1"/>
    <col min="12" max="13" width="13.6640625" bestFit="1" customWidth="1"/>
    <col min="14" max="14" width="22.1640625" bestFit="1" customWidth="1"/>
    <col min="15" max="15" width="18.33203125" bestFit="1" customWidth="1"/>
    <col min="16" max="16" width="16" bestFit="1" customWidth="1"/>
    <col min="17" max="17" width="26" bestFit="1" customWidth="1"/>
    <col min="18" max="18" width="17.5" bestFit="1" customWidth="1"/>
    <col min="19" max="19" width="24.83203125" bestFit="1" customWidth="1"/>
    <col min="20" max="20" width="19.6640625" bestFit="1" customWidth="1"/>
    <col min="21" max="21" width="24.1640625" bestFit="1" customWidth="1"/>
    <col min="22" max="22" width="19" bestFit="1" customWidth="1"/>
    <col min="23" max="23" width="23.1640625" bestFit="1" customWidth="1"/>
    <col min="24" max="24" width="16.83203125" bestFit="1" customWidth="1"/>
    <col min="25" max="25" width="16.83203125" customWidth="1"/>
    <col min="26" max="26" width="24.1640625" bestFit="1" customWidth="1"/>
    <col min="27" max="27" width="16.83203125" customWidth="1"/>
    <col min="28" max="28" width="28" bestFit="1" customWidth="1"/>
    <col min="29" max="29" width="16.83203125" customWidth="1"/>
    <col min="30" max="30" width="21.6640625" bestFit="1" customWidth="1"/>
    <col min="31" max="31" width="26" bestFit="1" customWidth="1"/>
    <col min="32" max="32" width="23.1640625" bestFit="1" customWidth="1"/>
    <col min="33" max="33" width="23.5" bestFit="1" customWidth="1"/>
    <col min="34" max="34" width="21.6640625" customWidth="1"/>
    <col min="35" max="35" width="19.5" bestFit="1" customWidth="1"/>
    <col min="36" max="36" width="17.33203125" bestFit="1" customWidth="1"/>
    <col min="37" max="37" width="18" bestFit="1" customWidth="1"/>
    <col min="38" max="38" width="16.83203125" bestFit="1" customWidth="1"/>
    <col min="39" max="39" width="27" bestFit="1" customWidth="1"/>
    <col min="40" max="40" width="13.5" bestFit="1" customWidth="1"/>
    <col min="41" max="41" width="15.33203125" bestFit="1" customWidth="1"/>
    <col min="42" max="43" width="28.5" bestFit="1" customWidth="1"/>
    <col min="45" max="45" width="17.83203125" bestFit="1" customWidth="1"/>
    <col min="46" max="46" width="28" bestFit="1" customWidth="1"/>
    <col min="47" max="47" width="24.1640625" bestFit="1" customWidth="1"/>
    <col min="48" max="48" width="15.6640625" bestFit="1" customWidth="1"/>
    <col min="49" max="49" width="28.5" bestFit="1" customWidth="1"/>
    <col min="50" max="50" width="14.1640625" bestFit="1" customWidth="1"/>
    <col min="51" max="51" width="24.1640625" bestFit="1" customWidth="1"/>
    <col min="52" max="52" width="24.1640625" customWidth="1"/>
    <col min="53" max="53" width="28" bestFit="1" customWidth="1"/>
    <col min="54" max="54" width="12.1640625" bestFit="1" customWidth="1"/>
    <col min="55" max="55" width="21.6640625" bestFit="1" customWidth="1"/>
  </cols>
  <sheetData>
    <row r="1" spans="1:75" s="19" customFormat="1" x14ac:dyDescent="0.2">
      <c r="A1" s="17"/>
      <c r="B1" t="s">
        <v>153</v>
      </c>
    </row>
    <row r="2" spans="1:75" x14ac:dyDescent="0.2">
      <c r="A2" s="16"/>
      <c r="B2" t="s">
        <v>154</v>
      </c>
    </row>
    <row r="3" spans="1:75" x14ac:dyDescent="0.2">
      <c r="A3" s="18" t="str">
        <f ca="1">IF($E3="", "", INDIRECT("$D6"))</f>
        <v/>
      </c>
      <c r="B3" t="s">
        <v>155</v>
      </c>
    </row>
    <row r="4" spans="1:75" s="15" customFormat="1" x14ac:dyDescent="0.2">
      <c r="A4" s="36" t="s">
        <v>5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 t="s">
        <v>129</v>
      </c>
      <c r="M4" s="36"/>
      <c r="N4" s="36"/>
      <c r="O4" s="36"/>
      <c r="P4" s="36"/>
      <c r="Q4" s="36" t="s">
        <v>130</v>
      </c>
      <c r="R4" s="36"/>
      <c r="S4" s="36"/>
      <c r="T4" s="36"/>
      <c r="U4" s="36" t="s">
        <v>131</v>
      </c>
      <c r="V4" s="36"/>
      <c r="W4" s="36"/>
      <c r="X4" s="36"/>
      <c r="Y4" s="36"/>
      <c r="Z4" s="36"/>
      <c r="AA4" s="36"/>
      <c r="AB4" s="36"/>
      <c r="AC4" s="36"/>
      <c r="AD4" s="36"/>
      <c r="AE4" s="36" t="s">
        <v>195</v>
      </c>
      <c r="AF4" s="36"/>
      <c r="AG4" s="36"/>
      <c r="AH4" s="36"/>
      <c r="AI4" s="36" t="s">
        <v>184</v>
      </c>
      <c r="AJ4" s="36"/>
      <c r="AK4" s="36"/>
      <c r="AL4" s="36"/>
      <c r="AM4" s="36"/>
      <c r="AN4" s="36"/>
      <c r="AO4" s="24"/>
      <c r="AP4" s="36" t="s">
        <v>132</v>
      </c>
      <c r="AQ4" s="36"/>
      <c r="AR4" s="36"/>
      <c r="AS4" s="34"/>
      <c r="AT4" s="36" t="s">
        <v>133</v>
      </c>
      <c r="AU4" s="36"/>
      <c r="BD4" s="7"/>
      <c r="BE4" s="7"/>
      <c r="BF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</row>
    <row r="5" spans="1:75" s="5" customFormat="1" x14ac:dyDescent="0.2">
      <c r="A5" s="5" t="s">
        <v>1</v>
      </c>
      <c r="B5" s="5" t="s">
        <v>138</v>
      </c>
      <c r="C5" s="5" t="s">
        <v>139</v>
      </c>
      <c r="D5" s="11" t="s">
        <v>251</v>
      </c>
      <c r="E5" s="11" t="s">
        <v>0</v>
      </c>
      <c r="F5" s="11" t="s">
        <v>137</v>
      </c>
      <c r="G5" s="11" t="s">
        <v>173</v>
      </c>
      <c r="H5" s="11" t="s">
        <v>157</v>
      </c>
      <c r="I5" s="11" t="s">
        <v>109</v>
      </c>
      <c r="J5" s="11" t="s">
        <v>116</v>
      </c>
      <c r="K5" s="11" t="s">
        <v>112</v>
      </c>
      <c r="L5" s="5" t="s">
        <v>119</v>
      </c>
      <c r="M5" s="5" t="s">
        <v>120</v>
      </c>
      <c r="N5" s="5" t="s">
        <v>146</v>
      </c>
      <c r="O5" s="5" t="s">
        <v>136</v>
      </c>
      <c r="P5" s="5" t="s">
        <v>121</v>
      </c>
      <c r="Q5" s="5" t="s">
        <v>122</v>
      </c>
      <c r="R5" s="5" t="s">
        <v>123</v>
      </c>
      <c r="S5" s="5" t="s">
        <v>124</v>
      </c>
      <c r="T5" s="5" t="s">
        <v>125</v>
      </c>
      <c r="U5" s="5" t="s">
        <v>163</v>
      </c>
      <c r="V5" s="5" t="s">
        <v>161</v>
      </c>
      <c r="W5" s="5" t="s">
        <v>162</v>
      </c>
      <c r="X5" s="5" t="s">
        <v>152</v>
      </c>
      <c r="Y5" s="5" t="s">
        <v>178</v>
      </c>
      <c r="Z5" s="5" t="s">
        <v>180</v>
      </c>
      <c r="AA5" s="5" t="s">
        <v>183</v>
      </c>
      <c r="AB5" s="5" t="s">
        <v>182</v>
      </c>
      <c r="AC5" s="5" t="s">
        <v>177</v>
      </c>
      <c r="AD5" s="5" t="s">
        <v>181</v>
      </c>
      <c r="AE5" s="5" t="s">
        <v>196</v>
      </c>
      <c r="AF5" s="5" t="s">
        <v>197</v>
      </c>
      <c r="AG5" s="5" t="s">
        <v>198</v>
      </c>
      <c r="AH5" s="5" t="s">
        <v>199</v>
      </c>
      <c r="AI5" s="5" t="s">
        <v>2</v>
      </c>
      <c r="AJ5" s="5" t="s">
        <v>3</v>
      </c>
      <c r="AK5" s="5" t="s">
        <v>106</v>
      </c>
      <c r="AL5" s="5" t="s">
        <v>193</v>
      </c>
      <c r="AM5" s="5" t="s">
        <v>194</v>
      </c>
      <c r="AN5" s="5" t="s">
        <v>4</v>
      </c>
      <c r="AO5" s="5" t="s">
        <v>165</v>
      </c>
      <c r="AP5" s="5" t="s">
        <v>141</v>
      </c>
      <c r="AQ5" s="5" t="s">
        <v>127</v>
      </c>
      <c r="AR5" s="5" t="s">
        <v>149</v>
      </c>
      <c r="AS5" s="5" t="s">
        <v>192</v>
      </c>
      <c r="AT5" s="5" t="s">
        <v>190</v>
      </c>
      <c r="AU5" s="5" t="s">
        <v>191</v>
      </c>
    </row>
    <row r="6" spans="1:75" x14ac:dyDescent="0.2">
      <c r="A6" s="18"/>
      <c r="B6" s="18"/>
      <c r="C6" s="18"/>
      <c r="D6" s="18"/>
      <c r="E6" s="18"/>
      <c r="F6" s="18"/>
      <c r="G6" s="18"/>
      <c r="H6" s="18"/>
      <c r="I6" s="16" t="s">
        <v>110</v>
      </c>
      <c r="J6" s="18"/>
      <c r="K6" s="18"/>
      <c r="U6" s="17"/>
      <c r="V6" s="17"/>
      <c r="W6" s="17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</row>
    <row r="7" spans="1:75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U7" s="18"/>
      <c r="V7" s="18"/>
      <c r="W7" s="18"/>
      <c r="X7" s="16" t="s">
        <v>147</v>
      </c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</row>
    <row r="8" spans="1:75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U8" s="18"/>
      <c r="V8" s="18"/>
      <c r="W8" s="18"/>
      <c r="X8" s="16" t="s">
        <v>140</v>
      </c>
      <c r="Y8" s="16"/>
      <c r="Z8" s="16"/>
      <c r="AA8" s="16"/>
      <c r="AB8" s="16"/>
      <c r="AC8" s="16"/>
      <c r="AD8" s="16"/>
      <c r="AE8" s="17"/>
      <c r="AF8" s="17"/>
      <c r="AG8" s="17"/>
      <c r="AH8" s="17"/>
      <c r="AI8" s="17"/>
      <c r="AJ8" s="17"/>
      <c r="AK8" s="17"/>
      <c r="AL8" s="35"/>
      <c r="AM8" s="35"/>
      <c r="AN8" s="17"/>
      <c r="AO8" s="17"/>
      <c r="AP8" s="35"/>
      <c r="AQ8" s="35"/>
      <c r="AR8" s="17"/>
      <c r="AS8" s="17"/>
      <c r="AT8" s="17"/>
      <c r="AU8" s="17"/>
    </row>
    <row r="9" spans="1:75" x14ac:dyDescent="0.2">
      <c r="A9" s="18"/>
      <c r="B9" s="18"/>
      <c r="C9" s="18"/>
      <c r="D9" s="18"/>
      <c r="E9" s="18"/>
      <c r="F9" s="18"/>
      <c r="G9" s="18"/>
      <c r="H9" s="18"/>
      <c r="I9" s="16" t="s">
        <v>111</v>
      </c>
      <c r="J9" s="18"/>
      <c r="K9" s="18"/>
      <c r="L9" s="17"/>
      <c r="M9" s="17"/>
      <c r="N9" s="17"/>
      <c r="O9" s="17"/>
      <c r="P9" s="17"/>
    </row>
    <row r="10" spans="1:75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6" t="s">
        <v>140</v>
      </c>
      <c r="Q10" s="17"/>
      <c r="R10" s="17"/>
      <c r="S10" s="17"/>
      <c r="T10" s="17"/>
    </row>
    <row r="11" spans="1:75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6" t="s">
        <v>147</v>
      </c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</row>
    <row r="12" spans="1:75" x14ac:dyDescent="0.2">
      <c r="A12" s="18"/>
      <c r="B12" s="18"/>
      <c r="C12" s="18"/>
      <c r="D12" s="18"/>
      <c r="E12" s="18"/>
      <c r="F12" s="18"/>
      <c r="G12" s="18"/>
      <c r="H12" s="18"/>
      <c r="I12" s="16" t="s">
        <v>176</v>
      </c>
      <c r="J12" s="32"/>
      <c r="K12" s="32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17"/>
      <c r="Z12" s="17"/>
      <c r="AA12" s="17"/>
      <c r="AB12" s="17"/>
      <c r="AC12" s="17"/>
      <c r="AD12" s="17"/>
      <c r="AE12" s="35"/>
      <c r="AF12" s="35"/>
      <c r="AG12" s="35"/>
      <c r="AH12" s="35"/>
    </row>
    <row r="13" spans="1:75" x14ac:dyDescent="0.2">
      <c r="A13" s="32"/>
      <c r="B13" s="32"/>
      <c r="C13" s="32"/>
      <c r="D13" s="32"/>
      <c r="E13" s="32"/>
      <c r="F13" s="32"/>
      <c r="G13" s="18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16" t="s">
        <v>185</v>
      </c>
      <c r="AE13" s="16"/>
      <c r="AF13" s="16"/>
      <c r="AG13" s="16"/>
      <c r="AH13" s="16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1:75" x14ac:dyDescent="0.2">
      <c r="G14" s="30"/>
    </row>
    <row r="15" spans="1:75" x14ac:dyDescent="0.2">
      <c r="G15" s="30"/>
    </row>
    <row r="16" spans="1:75" x14ac:dyDescent="0.2">
      <c r="G16" s="30"/>
    </row>
    <row r="17" spans="7:7" x14ac:dyDescent="0.2">
      <c r="G17" s="30"/>
    </row>
    <row r="18" spans="7:7" x14ac:dyDescent="0.2">
      <c r="G18" s="30"/>
    </row>
    <row r="19" spans="7:7" x14ac:dyDescent="0.2">
      <c r="G19" s="30"/>
    </row>
    <row r="20" spans="7:7" x14ac:dyDescent="0.2">
      <c r="G20" s="30"/>
    </row>
    <row r="21" spans="7:7" x14ac:dyDescent="0.2">
      <c r="G21" s="30"/>
    </row>
    <row r="22" spans="7:7" x14ac:dyDescent="0.2">
      <c r="G22" s="30"/>
    </row>
    <row r="23" spans="7:7" x14ac:dyDescent="0.2">
      <c r="G23" s="30"/>
    </row>
    <row r="24" spans="7:7" x14ac:dyDescent="0.2">
      <c r="G24" s="30"/>
    </row>
    <row r="25" spans="7:7" x14ac:dyDescent="0.2">
      <c r="G25" s="30"/>
    </row>
    <row r="26" spans="7:7" x14ac:dyDescent="0.2">
      <c r="G26" s="30"/>
    </row>
    <row r="27" spans="7:7" x14ac:dyDescent="0.2">
      <c r="G27" s="30"/>
    </row>
    <row r="28" spans="7:7" x14ac:dyDescent="0.2">
      <c r="G28" s="30"/>
    </row>
    <row r="29" spans="7:7" x14ac:dyDescent="0.2">
      <c r="G29" s="30"/>
    </row>
    <row r="30" spans="7:7" x14ac:dyDescent="0.2">
      <c r="G30" s="30"/>
    </row>
    <row r="31" spans="7:7" x14ac:dyDescent="0.2">
      <c r="G31" s="30"/>
    </row>
    <row r="32" spans="7:7" x14ac:dyDescent="0.2">
      <c r="G32" s="30"/>
    </row>
    <row r="33" spans="7:7" x14ac:dyDescent="0.2">
      <c r="G33" s="30"/>
    </row>
    <row r="34" spans="7:7" x14ac:dyDescent="0.2">
      <c r="G34" s="30"/>
    </row>
    <row r="35" spans="7:7" x14ac:dyDescent="0.2">
      <c r="G35" s="30"/>
    </row>
    <row r="36" spans="7:7" x14ac:dyDescent="0.2">
      <c r="G36" s="30"/>
    </row>
    <row r="37" spans="7:7" x14ac:dyDescent="0.2">
      <c r="G37" s="30"/>
    </row>
    <row r="38" spans="7:7" x14ac:dyDescent="0.2">
      <c r="G38" s="30"/>
    </row>
    <row r="39" spans="7:7" x14ac:dyDescent="0.2">
      <c r="G39" s="30"/>
    </row>
    <row r="40" spans="7:7" x14ac:dyDescent="0.2">
      <c r="G40" s="30"/>
    </row>
    <row r="41" spans="7:7" x14ac:dyDescent="0.2">
      <c r="G41" s="30"/>
    </row>
    <row r="42" spans="7:7" x14ac:dyDescent="0.2">
      <c r="G42" s="30"/>
    </row>
    <row r="43" spans="7:7" x14ac:dyDescent="0.2">
      <c r="G43" s="30"/>
    </row>
    <row r="44" spans="7:7" x14ac:dyDescent="0.2">
      <c r="G44" s="30"/>
    </row>
    <row r="45" spans="7:7" x14ac:dyDescent="0.2">
      <c r="G45" s="30"/>
    </row>
    <row r="46" spans="7:7" x14ac:dyDescent="0.2">
      <c r="G46" s="30"/>
    </row>
    <row r="47" spans="7:7" x14ac:dyDescent="0.2">
      <c r="G47" s="30"/>
    </row>
    <row r="48" spans="7:7" x14ac:dyDescent="0.2">
      <c r="G48" s="30"/>
    </row>
    <row r="49" spans="7:7" x14ac:dyDescent="0.2">
      <c r="G49" s="30"/>
    </row>
    <row r="50" spans="7:7" x14ac:dyDescent="0.2">
      <c r="G50" s="30"/>
    </row>
    <row r="51" spans="7:7" x14ac:dyDescent="0.2">
      <c r="G51" s="30"/>
    </row>
    <row r="52" spans="7:7" x14ac:dyDescent="0.2">
      <c r="G52" s="30"/>
    </row>
    <row r="53" spans="7:7" x14ac:dyDescent="0.2">
      <c r="G53" s="30"/>
    </row>
    <row r="54" spans="7:7" x14ac:dyDescent="0.2">
      <c r="G54" s="30"/>
    </row>
    <row r="55" spans="7:7" x14ac:dyDescent="0.2">
      <c r="G55" s="30"/>
    </row>
    <row r="56" spans="7:7" x14ac:dyDescent="0.2">
      <c r="G56" s="30"/>
    </row>
    <row r="57" spans="7:7" x14ac:dyDescent="0.2">
      <c r="G57" s="30"/>
    </row>
    <row r="58" spans="7:7" x14ac:dyDescent="0.2">
      <c r="G58" s="30"/>
    </row>
    <row r="59" spans="7:7" x14ac:dyDescent="0.2">
      <c r="G59" s="30"/>
    </row>
    <row r="60" spans="7:7" x14ac:dyDescent="0.2">
      <c r="G60" s="30"/>
    </row>
    <row r="61" spans="7:7" x14ac:dyDescent="0.2">
      <c r="G61" s="30"/>
    </row>
    <row r="62" spans="7:7" x14ac:dyDescent="0.2">
      <c r="G62" s="30"/>
    </row>
    <row r="63" spans="7:7" x14ac:dyDescent="0.2">
      <c r="G63" s="30"/>
    </row>
    <row r="64" spans="7:7" x14ac:dyDescent="0.2">
      <c r="G64" s="30"/>
    </row>
    <row r="65" spans="7:7" x14ac:dyDescent="0.2">
      <c r="G65" s="30"/>
    </row>
    <row r="66" spans="7:7" x14ac:dyDescent="0.2">
      <c r="G66" s="30"/>
    </row>
    <row r="67" spans="7:7" x14ac:dyDescent="0.2">
      <c r="G67" s="30"/>
    </row>
    <row r="68" spans="7:7" x14ac:dyDescent="0.2">
      <c r="G68" s="30"/>
    </row>
    <row r="69" spans="7:7" x14ac:dyDescent="0.2">
      <c r="G69" s="30"/>
    </row>
    <row r="70" spans="7:7" x14ac:dyDescent="0.2">
      <c r="G70" s="30"/>
    </row>
    <row r="71" spans="7:7" x14ac:dyDescent="0.2">
      <c r="G71" s="30"/>
    </row>
    <row r="72" spans="7:7" x14ac:dyDescent="0.2">
      <c r="G72" s="30"/>
    </row>
    <row r="73" spans="7:7" x14ac:dyDescent="0.2">
      <c r="G73" s="30"/>
    </row>
    <row r="74" spans="7:7" x14ac:dyDescent="0.2">
      <c r="G74" s="30"/>
    </row>
    <row r="75" spans="7:7" x14ac:dyDescent="0.2">
      <c r="G75" s="30"/>
    </row>
    <row r="76" spans="7:7" x14ac:dyDescent="0.2">
      <c r="G76" s="30"/>
    </row>
    <row r="77" spans="7:7" x14ac:dyDescent="0.2">
      <c r="G77" s="30"/>
    </row>
    <row r="78" spans="7:7" x14ac:dyDescent="0.2">
      <c r="G78" s="30"/>
    </row>
    <row r="79" spans="7:7" x14ac:dyDescent="0.2">
      <c r="G79" s="30"/>
    </row>
    <row r="80" spans="7:7" x14ac:dyDescent="0.2">
      <c r="G80" s="30"/>
    </row>
    <row r="81" spans="7:7" x14ac:dyDescent="0.2">
      <c r="G81" s="30"/>
    </row>
    <row r="82" spans="7:7" x14ac:dyDescent="0.2">
      <c r="G82" s="30"/>
    </row>
    <row r="83" spans="7:7" x14ac:dyDescent="0.2">
      <c r="G83" s="30"/>
    </row>
    <row r="84" spans="7:7" x14ac:dyDescent="0.2">
      <c r="G84" s="30"/>
    </row>
    <row r="85" spans="7:7" x14ac:dyDescent="0.2">
      <c r="G85" s="30"/>
    </row>
    <row r="86" spans="7:7" x14ac:dyDescent="0.2">
      <c r="G86" s="30"/>
    </row>
    <row r="87" spans="7:7" x14ac:dyDescent="0.2">
      <c r="G87" s="30"/>
    </row>
    <row r="88" spans="7:7" x14ac:dyDescent="0.2">
      <c r="G88" s="30"/>
    </row>
    <row r="89" spans="7:7" x14ac:dyDescent="0.2">
      <c r="G89" s="30"/>
    </row>
    <row r="90" spans="7:7" x14ac:dyDescent="0.2">
      <c r="G90" s="30"/>
    </row>
    <row r="91" spans="7:7" x14ac:dyDescent="0.2">
      <c r="G91" s="30"/>
    </row>
    <row r="92" spans="7:7" x14ac:dyDescent="0.2">
      <c r="G92" s="30"/>
    </row>
    <row r="93" spans="7:7" x14ac:dyDescent="0.2">
      <c r="G93" s="30"/>
    </row>
    <row r="94" spans="7:7" x14ac:dyDescent="0.2">
      <c r="G94" s="30"/>
    </row>
    <row r="95" spans="7:7" x14ac:dyDescent="0.2">
      <c r="G95" s="30"/>
    </row>
    <row r="96" spans="7:7" x14ac:dyDescent="0.2">
      <c r="G96" s="30"/>
    </row>
    <row r="97" spans="7:7" x14ac:dyDescent="0.2">
      <c r="G97" s="30"/>
    </row>
    <row r="98" spans="7:7" x14ac:dyDescent="0.2">
      <c r="G98" s="30"/>
    </row>
    <row r="99" spans="7:7" x14ac:dyDescent="0.2">
      <c r="G99" s="30"/>
    </row>
    <row r="100" spans="7:7" x14ac:dyDescent="0.2">
      <c r="G100" s="30"/>
    </row>
    <row r="101" spans="7:7" x14ac:dyDescent="0.2">
      <c r="G101" s="30"/>
    </row>
    <row r="102" spans="7:7" x14ac:dyDescent="0.2">
      <c r="G102" s="20"/>
    </row>
    <row r="103" spans="7:7" x14ac:dyDescent="0.2">
      <c r="G103" s="20"/>
    </row>
    <row r="104" spans="7:7" x14ac:dyDescent="0.2">
      <c r="G104" s="20"/>
    </row>
  </sheetData>
  <mergeCells count="9">
    <mergeCell ref="AT4:AU4"/>
    <mergeCell ref="A4:K4"/>
    <mergeCell ref="L4:P4"/>
    <mergeCell ref="Q4:T4"/>
    <mergeCell ref="AI4:AN4"/>
    <mergeCell ref="AP4:AR4"/>
    <mergeCell ref="U4:X4"/>
    <mergeCell ref="Y4:AD4"/>
    <mergeCell ref="AE4:AH4"/>
  </mergeCells>
  <dataValidations count="1">
    <dataValidation allowBlank="1" showInputMessage="1" sqref="AQ1:AS1 AQ5:AS5" xr:uid="{AF121749-899D-D247-8C2A-A737FF0EA963}"/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18DAE6-7B23-D94A-8FEE-3187C1A268AD}">
          <x14:formula1>
            <xm:f>Validations!$O$3:$O$5</xm:f>
          </x14:formula1>
          <xm:sqref>G6:G101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2021-02-04T16:58:39Z</dcterms:modified>
</cp:coreProperties>
</file>