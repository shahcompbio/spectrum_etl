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4" codeName="{BFB45374-4EC8-2080-32AF-602F8B743B4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limj/dev/spectrum_etl/spectrum_etl/elab_spreadsheet/"/>
    </mc:Choice>
  </mc:AlternateContent>
  <xr:revisionPtr revIDLastSave="0" documentId="13_ncr:1_{D3780DAA-590E-6D46-84B4-9709AF1EF7D1}" xr6:coauthVersionLast="45" xr6:coauthVersionMax="45" xr10:uidLastSave="{00000000-0000-0000-0000-000000000000}"/>
  <bookViews>
    <workbookView xWindow="1720" yWindow="460" windowWidth="28800" windowHeight="15960" xr2:uid="{265C2A98-33D2-6240-8FD3-8659365E2BC2}"/>
  </bookViews>
  <sheets>
    <sheet name="Main Database" sheetId="1" r:id="rId1"/>
    <sheet name="Validations" sheetId="2" r:id="rId2"/>
    <sheet name="Macro Logic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3" i="3" l="1"/>
  <c r="A100" i="1" l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H31" i="1" l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6" i="1"/>
  <c r="A5" i="1" l="1"/>
  <c r="A6" i="1"/>
</calcChain>
</file>

<file path=xl/sharedStrings.xml><?xml version="1.0" encoding="utf-8"?>
<sst xmlns="http://schemas.openxmlformats.org/spreadsheetml/2006/main" count="225" uniqueCount="168">
  <si>
    <t>Patient ID</t>
  </si>
  <si>
    <t>Name</t>
  </si>
  <si>
    <t>Sequencing Technique</t>
  </si>
  <si>
    <t>Date of Submission</t>
  </si>
  <si>
    <t>IGO ID</t>
  </si>
  <si>
    <t>REX Sample ID</t>
  </si>
  <si>
    <t>Patient Info</t>
  </si>
  <si>
    <t>SPECTRUM-OV-001</t>
  </si>
  <si>
    <t>SPECTRUM-OV-002</t>
  </si>
  <si>
    <t>SPECTRUM-OV-003</t>
  </si>
  <si>
    <t>SPECTRUM-OV-004</t>
  </si>
  <si>
    <t>SPECTRUM-OV-005</t>
  </si>
  <si>
    <t>SPECTRUM-OV-006</t>
  </si>
  <si>
    <t>SPECTRUM-OV-007</t>
  </si>
  <si>
    <t>SPECTRUM-OV-008</t>
  </si>
  <si>
    <t>SPECTRUM-OV-009</t>
  </si>
  <si>
    <t>SPECTRUM-OV-010</t>
  </si>
  <si>
    <t>SPECTRUM-OV-011</t>
  </si>
  <si>
    <t>SPECTRUM-OV-012</t>
  </si>
  <si>
    <t>SPECTRUM-OV-013</t>
  </si>
  <si>
    <t>SPECTRUM-OV-014</t>
  </si>
  <si>
    <t>SPECTRUM-OV-015</t>
  </si>
  <si>
    <t>SPECTRUM-OV-016</t>
  </si>
  <si>
    <t>SPECTRUM-OV-017</t>
  </si>
  <si>
    <t>SPECTRUM-OV-018</t>
  </si>
  <si>
    <t>SPECTRUM-OV-019</t>
  </si>
  <si>
    <t>SPECTRUM-OV-020</t>
  </si>
  <si>
    <t>SPECTRUM-OV-021</t>
  </si>
  <si>
    <t>SPECTRUM-OV-022</t>
  </si>
  <si>
    <t>SPECTRUM-OV-023</t>
  </si>
  <si>
    <t>SPECTRUM-OV-024</t>
  </si>
  <si>
    <t>SPECTRUM-OV-025</t>
  </si>
  <si>
    <t>SPECTRUM-OV-026</t>
  </si>
  <si>
    <t>SPECTRUM-OV-027</t>
  </si>
  <si>
    <t>SPECTRUM-OV-028</t>
  </si>
  <si>
    <t>SPECTRUM-OV-029</t>
  </si>
  <si>
    <t>SPECTRUM-OV-030</t>
  </si>
  <si>
    <t>SPECTRUM-OV-031</t>
  </si>
  <si>
    <t>SPECTRUM-OV-032</t>
  </si>
  <si>
    <t>SPECTRUM-OV-033</t>
  </si>
  <si>
    <t>SPECTRUM-OV-034</t>
  </si>
  <si>
    <t>SPECTRUM-OV-035</t>
  </si>
  <si>
    <t>SPECTRUM-OV-036</t>
  </si>
  <si>
    <t>SPECTRUM-OV-037</t>
  </si>
  <si>
    <t>SPECTRUM-OV-038</t>
  </si>
  <si>
    <t>SPECTRUM-OV-039</t>
  </si>
  <si>
    <t>SPECTRUM-OV-040</t>
  </si>
  <si>
    <t>SPECTRUM-OV-041</t>
  </si>
  <si>
    <t>SPECTRUM-OV-042</t>
  </si>
  <si>
    <t>SPECTRUM-OV-043</t>
  </si>
  <si>
    <t>SPECTRUM-OV-044</t>
  </si>
  <si>
    <t>SPECTRUM-OV-045</t>
  </si>
  <si>
    <t>SPECTRUM-OV-046</t>
  </si>
  <si>
    <t>SPECTRUM-OV-047</t>
  </si>
  <si>
    <t>SPECTRUM-OV-048</t>
  </si>
  <si>
    <t>SPECTRUM-OV-049</t>
  </si>
  <si>
    <t>SPECTRUM-OV-050</t>
  </si>
  <si>
    <t>SPECTRUM-OV-051</t>
  </si>
  <si>
    <t>SPECTRUM-OV-052</t>
  </si>
  <si>
    <t>SPECTRUM-OV-053</t>
  </si>
  <si>
    <t>SPECTRUM-OV-054</t>
  </si>
  <si>
    <t>SPECTRUM-OV-055</t>
  </si>
  <si>
    <t>SPECTRUM-OV-056</t>
  </si>
  <si>
    <t>SPECTRUM-OV-057</t>
  </si>
  <si>
    <t>SPECTRUM-OV-058</t>
  </si>
  <si>
    <t>SPECTRUM-OV-059</t>
  </si>
  <si>
    <t>SPECTRUM-OV-060</t>
  </si>
  <si>
    <t>SPECTRUM-OV-061</t>
  </si>
  <si>
    <t>SPECTRUM-OV-062</t>
  </si>
  <si>
    <t>SPECTRUM-OV-063</t>
  </si>
  <si>
    <t>SPECTRUM-OV-064</t>
  </si>
  <si>
    <t>SPECTRUM-OV-065</t>
  </si>
  <si>
    <t>SPECTRUM-OV-066</t>
  </si>
  <si>
    <t>SPECTRUM-OV-067</t>
  </si>
  <si>
    <t>SPECTRUM-OV-068</t>
  </si>
  <si>
    <t>SPECTRUM-OV-069</t>
  </si>
  <si>
    <t>SPECTRUM-OV-070</t>
  </si>
  <si>
    <t>SPECTRUM-OV-071</t>
  </si>
  <si>
    <t>SPECTRUM-OV-072</t>
  </si>
  <si>
    <t>SPECTRUM-OV-073</t>
  </si>
  <si>
    <t>SPECTRUM-OV-074</t>
  </si>
  <si>
    <t>SPECTRUM-OV-075</t>
  </si>
  <si>
    <t>SPECTRUM-OV-076</t>
  </si>
  <si>
    <t>SPECTRUM-OV-077</t>
  </si>
  <si>
    <t>SPECTRUM-OV-078</t>
  </si>
  <si>
    <t>SPECTRUM-OV-079</t>
  </si>
  <si>
    <t>SPECTRUM-OV-080</t>
  </si>
  <si>
    <t>SPECTRUM-OV-081</t>
  </si>
  <si>
    <t>SPECTRUM-OV-082</t>
  </si>
  <si>
    <t>SPECTRUM-OV-083</t>
  </si>
  <si>
    <t>SPECTRUM-OV-084</t>
  </si>
  <si>
    <t>SPECTRUM-OV-085</t>
  </si>
  <si>
    <t>SPECTRUM-OV-086</t>
  </si>
  <si>
    <t>SPECTRUM-OV-087</t>
  </si>
  <si>
    <t>SPECTRUM-OV-088</t>
  </si>
  <si>
    <t>SPECTRUM-OV-089</t>
  </si>
  <si>
    <t>SPECTRUM-OV-090</t>
  </si>
  <si>
    <t>SPECTRUM-OV-091</t>
  </si>
  <si>
    <t>SPECTRUM-OV-092</t>
  </si>
  <si>
    <t>SPECTRUM-OV-093</t>
  </si>
  <si>
    <t>SPECTRUM-OV-094</t>
  </si>
  <si>
    <t>SPECTRUM-OV-095</t>
  </si>
  <si>
    <t>SPECTRUM-OV-096</t>
  </si>
  <si>
    <t>SPECTRUM-OV-097</t>
  </si>
  <si>
    <t>SPECTRUM-OV-098</t>
  </si>
  <si>
    <t>SPECTRUM-OV-099</t>
  </si>
  <si>
    <t>SPECTRUM-OV-100</t>
  </si>
  <si>
    <t>Sequencing Location</t>
  </si>
  <si>
    <t>IGO</t>
  </si>
  <si>
    <t>BCCRC</t>
  </si>
  <si>
    <t>Facility Submitted to</t>
  </si>
  <si>
    <t>IMF</t>
  </si>
  <si>
    <t>Lab Medicine</t>
  </si>
  <si>
    <t>Sample Type</t>
  </si>
  <si>
    <t>Buffy Coat</t>
  </si>
  <si>
    <t xml:space="preserve">Plasma </t>
  </si>
  <si>
    <t>Serum</t>
  </si>
  <si>
    <t>Collection Tube</t>
  </si>
  <si>
    <t>CPT</t>
  </si>
  <si>
    <t>Streck</t>
  </si>
  <si>
    <t>LM Accession #</t>
  </si>
  <si>
    <t>LM 2D Barcode</t>
  </si>
  <si>
    <t>LM Sample Status</t>
  </si>
  <si>
    <t>cfDNA Volume Extracted (ml)</t>
  </si>
  <si>
    <t>cfDNA Volume (ml)</t>
  </si>
  <si>
    <t>cfDNA Concentration (ng/ul)</t>
  </si>
  <si>
    <t>cfDNA Total Yield (ng)</t>
  </si>
  <si>
    <t>Submission Status</t>
  </si>
  <si>
    <t>REX Extraction Submission Form</t>
  </si>
  <si>
    <t>iLab WGS Submission Form</t>
  </si>
  <si>
    <t>REX WGS Submission Form</t>
  </si>
  <si>
    <t>Lab Medicine Sample Info</t>
  </si>
  <si>
    <t>Lab Medicine Extraction Info</t>
  </si>
  <si>
    <t>IMF Processing Info</t>
  </si>
  <si>
    <t>LM Sequencing Info</t>
  </si>
  <si>
    <t>Extraction Process</t>
  </si>
  <si>
    <t>WGS Process</t>
  </si>
  <si>
    <t>WGS Normal</t>
  </si>
  <si>
    <t>WGS</t>
  </si>
  <si>
    <t>LM Lab Receipt Date</t>
  </si>
  <si>
    <t>MRN</t>
  </si>
  <si>
    <t>Description</t>
  </si>
  <si>
    <t>Note</t>
  </si>
  <si>
    <t>Extracted</t>
  </si>
  <si>
    <t>iLab Extraction Submission Form</t>
  </si>
  <si>
    <t>Matched Tissue Submission</t>
  </si>
  <si>
    <t>scRNA seq</t>
  </si>
  <si>
    <t>DLP</t>
  </si>
  <si>
    <t>LM Submission Status</t>
  </si>
  <si>
    <t>LM Blood Collection Date</t>
  </si>
  <si>
    <t>Submitted</t>
  </si>
  <si>
    <t>Stored</t>
  </si>
  <si>
    <t>QC Checks</t>
  </si>
  <si>
    <t>Passed</t>
  </si>
  <si>
    <t>Failed</t>
  </si>
  <si>
    <t>IMF Sample Status</t>
  </si>
  <si>
    <t>columns that are shown or hidden</t>
  </si>
  <si>
    <t>trigger cell to show/hide columns</t>
  </si>
  <si>
    <t>cells leading up to trigger cells</t>
  </si>
  <si>
    <t>Sequencing Info</t>
  </si>
  <si>
    <t>Excluded</t>
  </si>
  <si>
    <t>Yes</t>
  </si>
  <si>
    <t>No</t>
  </si>
  <si>
    <t>Excluded (Blood)</t>
  </si>
  <si>
    <t>IMF Freeze Date</t>
  </si>
  <si>
    <t>Current # of vials</t>
  </si>
  <si>
    <t>IMF Clinical Trial Sample ID</t>
  </si>
  <si>
    <t>IMF Current # of Vials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</si>
</sst>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4"/>
      <name val="Calibri"/>
      <family val="2"/>
      <scheme val="minor"/>
    </font>
    <font>
      <sz val="12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0" xfId="0" applyAlignment="1" applyProtection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0" fillId="2" borderId="0" xfId="0" applyFill="1" applyAlignment="1" applyProtection="1">
      <alignment horizontal="center" vertical="center"/>
    </xf>
    <xf numFmtId="0" fontId="0" fillId="0" borderId="0" xfId="0" applyFill="1" applyAlignment="1" applyProtection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2" borderId="0" xfId="0" applyNumberForma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2" borderId="0" xfId="0" applyFill="1"/>
    <xf numFmtId="164" fontId="0" fillId="4" borderId="0" xfId="0" applyNumberForma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0" fillId="0" borderId="0" xfId="0" applyFill="1"/>
    <xf numFmtId="0" fontId="2" fillId="0" borderId="0" xfId="0" applyFont="1" applyAlignment="1">
      <alignment horizontal="center" vertical="center"/>
    </xf>
  </cellXfs>
  <cellStyles count="1">
    <cellStyle name="Normal" xfId="0" builtinId="0"/>
  </cellStyles>
  <dxfs count="17"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660400</xdr:colOff>
          <xdr:row>0</xdr:row>
          <xdr:rowOff>50800</xdr:rowOff>
        </xdr:from>
        <xdr:to>
          <xdr:col>2</xdr:col>
          <xdr:colOff>1066800</xdr:colOff>
          <xdr:row>1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Expand Columns and Copy Data To Clipboard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50800</xdr:colOff>
          <xdr:row>0</xdr:row>
          <xdr:rowOff>50800</xdr:rowOff>
        </xdr:from>
        <xdr:to>
          <xdr:col>4</xdr:col>
          <xdr:colOff>190500</xdr:colOff>
          <xdr:row>2</xdr:row>
          <xdr:rowOff>12700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Shrink Columns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F84648-A141-1E4E-88F3-9A6B88191111}">
  <sheetPr codeName="Sheet1"/>
  <dimension ref="A3:BF104"/>
  <sheetViews>
    <sheetView tabSelected="1" zoomScaleNormal="100" workbookViewId="0">
      <pane ySplit="4" topLeftCell="A6" activePane="bottomLeft" state="frozen"/>
      <selection activeCell="P1" sqref="P1"/>
      <selection pane="bottomLeft" activeCell="V10" sqref="V10"/>
    </sheetView>
  </sheetViews>
  <sheetFormatPr baseColWidth="10" defaultRowHeight="16" x14ac:dyDescent="0.2"/>
  <cols>
    <col min="1" max="1" width="18.1640625" style="2" bestFit="1" customWidth="1"/>
    <col min="2" max="3" width="18.1640625" style="2" customWidth="1"/>
    <col min="4" max="4" width="18.1640625" style="2" bestFit="1" customWidth="1"/>
    <col min="5" max="5" width="18.1640625" style="2" customWidth="1"/>
    <col min="6" max="6" width="15" style="2" bestFit="1" customWidth="1"/>
    <col min="7" max="7" width="18.5" style="2" bestFit="1" customWidth="1"/>
    <col min="8" max="8" width="14" style="2" bestFit="1" customWidth="1"/>
    <col min="9" max="9" width="12.33203125" style="2" bestFit="1" customWidth="1"/>
    <col min="10" max="10" width="14.1640625" style="2" customWidth="1"/>
    <col min="11" max="11" width="14.33203125" style="2" customWidth="1"/>
    <col min="12" max="12" width="31.1640625" style="2" customWidth="1"/>
    <col min="13" max="13" width="32.83203125" style="2" customWidth="1"/>
    <col min="14" max="14" width="16.5" style="2" customWidth="1"/>
    <col min="15" max="15" width="26.5" style="2" customWidth="1"/>
    <col min="16" max="16" width="17.6640625" style="2" customWidth="1"/>
    <col min="17" max="17" width="25.33203125" style="2" customWidth="1"/>
    <col min="18" max="18" width="19.83203125" style="2" customWidth="1"/>
    <col min="19" max="19" width="15" style="2" customWidth="1"/>
    <col min="20" max="20" width="17.83203125" style="2" customWidth="1"/>
    <col min="21" max="21" width="19.5" style="2" customWidth="1"/>
    <col min="22" max="22" width="15.1640625" style="2" customWidth="1"/>
    <col min="23" max="23" width="20.1640625" style="2" customWidth="1"/>
    <col min="24" max="24" width="17.5" style="2" customWidth="1"/>
    <col min="25" max="25" width="18.5" style="2" customWidth="1"/>
    <col min="26" max="26" width="7" style="2" customWidth="1"/>
    <col min="27" max="27" width="14" style="2" customWidth="1"/>
    <col min="28" max="28" width="28.33203125" style="2" customWidth="1"/>
    <col min="29" max="29" width="29.33203125" style="2" customWidth="1"/>
    <col min="30" max="30" width="13.33203125" style="2" customWidth="1"/>
    <col min="31" max="31" width="24.5" style="2" customWidth="1"/>
    <col min="32" max="32" width="24.83203125" style="2" customWidth="1"/>
    <col min="33" max="33" width="6.5" style="2" bestFit="1" customWidth="1"/>
    <col min="34" max="34" width="13.1640625" style="2" bestFit="1" customWidth="1"/>
    <col min="35" max="35" width="13" style="2" bestFit="1" customWidth="1"/>
    <col min="36" max="36" width="19.33203125" style="2" bestFit="1" customWidth="1"/>
    <col min="37" max="37" width="19.1640625" style="2" bestFit="1" customWidth="1"/>
    <col min="38" max="38" width="9.5" style="2" bestFit="1" customWidth="1"/>
    <col min="39" max="39" width="12" style="2" bestFit="1" customWidth="1"/>
    <col min="40" max="40" width="13" style="2" bestFit="1" customWidth="1"/>
    <col min="41" max="41" width="6" style="2" bestFit="1" customWidth="1"/>
    <col min="42" max="42" width="17.1640625" style="2" bestFit="1" customWidth="1"/>
    <col min="43" max="43" width="19" style="2" bestFit="1" customWidth="1"/>
    <col min="44" max="44" width="15.33203125" style="2" bestFit="1" customWidth="1"/>
    <col min="45" max="45" width="21.83203125" style="2" bestFit="1" customWidth="1"/>
    <col min="46" max="46" width="23.1640625" style="2" bestFit="1" customWidth="1"/>
    <col min="47" max="47" width="21.83203125" style="2" bestFit="1" customWidth="1"/>
    <col min="48" max="48" width="13.6640625" style="2" bestFit="1" customWidth="1"/>
    <col min="49" max="49" width="17.83203125" style="2" bestFit="1" customWidth="1"/>
    <col min="50" max="50" width="14.5" style="2" bestFit="1" customWidth="1"/>
    <col min="51" max="51" width="27" style="2" bestFit="1" customWidth="1"/>
    <col min="52" max="52" width="21.1640625" style="2" bestFit="1" customWidth="1"/>
    <col min="53" max="53" width="18.83203125" style="2" bestFit="1" customWidth="1"/>
    <col min="54" max="54" width="10.83203125" style="2"/>
    <col min="55" max="55" width="17" style="2" bestFit="1" customWidth="1"/>
    <col min="56" max="56" width="16.6640625" style="2" bestFit="1" customWidth="1"/>
    <col min="57" max="57" width="7.6640625" style="2" bestFit="1" customWidth="1"/>
    <col min="58" max="16384" width="10.83203125" style="2"/>
  </cols>
  <sheetData>
    <row r="3" spans="1:58" s="6" customFormat="1" x14ac:dyDescent="0.2">
      <c r="A3" s="21" t="s">
        <v>6</v>
      </c>
      <c r="B3" s="21"/>
      <c r="C3" s="21"/>
      <c r="D3" s="21"/>
      <c r="E3" s="21"/>
      <c r="F3" s="21"/>
      <c r="G3" s="21"/>
      <c r="H3" s="21"/>
      <c r="I3" s="21"/>
      <c r="J3" s="21" t="s">
        <v>131</v>
      </c>
      <c r="K3" s="21"/>
      <c r="L3" s="21"/>
      <c r="M3" s="21"/>
      <c r="N3" s="21"/>
      <c r="O3" s="21" t="s">
        <v>132</v>
      </c>
      <c r="P3" s="21"/>
      <c r="Q3" s="21"/>
      <c r="R3" s="21"/>
      <c r="S3" s="21" t="s">
        <v>133</v>
      </c>
      <c r="T3" s="21"/>
      <c r="U3" s="21"/>
      <c r="V3" s="21"/>
      <c r="W3" s="21" t="s">
        <v>159</v>
      </c>
      <c r="X3" s="21"/>
      <c r="Y3" s="21"/>
      <c r="Z3" s="21"/>
      <c r="AA3" s="21"/>
      <c r="AB3" s="21" t="s">
        <v>135</v>
      </c>
      <c r="AC3" s="21"/>
      <c r="AD3" s="21"/>
      <c r="AE3" s="21" t="s">
        <v>136</v>
      </c>
      <c r="AF3" s="21"/>
      <c r="AG3" s="7"/>
      <c r="AH3" s="7"/>
      <c r="AI3" s="7"/>
      <c r="AJ3" s="7"/>
      <c r="AK3" s="7"/>
      <c r="AL3" s="7"/>
      <c r="AM3" s="7"/>
      <c r="AN3" s="7"/>
      <c r="AO3" s="8"/>
      <c r="AP3" s="7"/>
      <c r="AQ3" s="7"/>
      <c r="AR3" s="7"/>
      <c r="AS3" s="7"/>
      <c r="AT3" s="7"/>
      <c r="AU3" s="7"/>
      <c r="AV3" s="7"/>
      <c r="AW3" s="7"/>
      <c r="AX3" s="7"/>
      <c r="AY3" s="7"/>
      <c r="AZ3" s="7"/>
      <c r="BA3" s="7"/>
      <c r="BB3" s="7"/>
      <c r="BC3" s="7"/>
      <c r="BD3" s="7"/>
      <c r="BE3" s="7"/>
      <c r="BF3" s="8"/>
    </row>
    <row r="4" spans="1:58" s="5" customFormat="1" x14ac:dyDescent="0.2">
      <c r="A4" s="5" t="s">
        <v>1</v>
      </c>
      <c r="B4" s="5" t="s">
        <v>141</v>
      </c>
      <c r="C4" s="5" t="s">
        <v>142</v>
      </c>
      <c r="D4" s="11" t="s">
        <v>0</v>
      </c>
      <c r="E4" s="11" t="s">
        <v>140</v>
      </c>
      <c r="F4" s="11" t="s">
        <v>163</v>
      </c>
      <c r="G4" s="11" t="s">
        <v>110</v>
      </c>
      <c r="H4" s="11" t="s">
        <v>117</v>
      </c>
      <c r="I4" s="11" t="s">
        <v>113</v>
      </c>
      <c r="J4" s="5" t="s">
        <v>120</v>
      </c>
      <c r="K4" s="5" t="s">
        <v>121</v>
      </c>
      <c r="L4" s="5" t="s">
        <v>149</v>
      </c>
      <c r="M4" s="5" t="s">
        <v>139</v>
      </c>
      <c r="N4" s="5" t="s">
        <v>122</v>
      </c>
      <c r="O4" s="5" t="s">
        <v>123</v>
      </c>
      <c r="P4" s="5" t="s">
        <v>124</v>
      </c>
      <c r="Q4" s="5" t="s">
        <v>125</v>
      </c>
      <c r="R4" s="5" t="s">
        <v>126</v>
      </c>
      <c r="S4" s="5" t="s">
        <v>166</v>
      </c>
      <c r="T4" s="5" t="s">
        <v>164</v>
      </c>
      <c r="U4" s="5" t="s">
        <v>167</v>
      </c>
      <c r="V4" s="5" t="s">
        <v>155</v>
      </c>
      <c r="W4" s="5" t="s">
        <v>2</v>
      </c>
      <c r="X4" s="5" t="s">
        <v>3</v>
      </c>
      <c r="Y4" s="5" t="s">
        <v>107</v>
      </c>
      <c r="Z4" s="5" t="s">
        <v>4</v>
      </c>
      <c r="AA4" s="5" t="s">
        <v>5</v>
      </c>
      <c r="AB4" s="5" t="s">
        <v>144</v>
      </c>
      <c r="AC4" s="5" t="s">
        <v>128</v>
      </c>
      <c r="AD4" s="5" t="s">
        <v>152</v>
      </c>
      <c r="AE4" s="5" t="s">
        <v>129</v>
      </c>
      <c r="AF4" s="5" t="s">
        <v>130</v>
      </c>
    </row>
    <row r="5" spans="1:58" ht="16" hidden="1" customHeight="1" x14ac:dyDescent="0.2">
      <c r="A5" s="4" t="str">
        <f>D5</f>
        <v>SPECTRUM-OV-001</v>
      </c>
      <c r="B5" s="4"/>
      <c r="C5" s="4"/>
      <c r="D5" s="2" t="s">
        <v>7</v>
      </c>
    </row>
    <row r="6" spans="1:58" x14ac:dyDescent="0.2">
      <c r="A6" s="9" t="str">
        <f ca="1">IF($D6="", "", INDIRECT("$D6"))</f>
        <v/>
      </c>
      <c r="B6" s="9"/>
      <c r="C6" s="10"/>
      <c r="H6" s="14" t="str">
        <f>IF($G6="Lab Medicine", "Streck", IF($G6="IMF", "CPT", ""))</f>
        <v/>
      </c>
      <c r="L6" s="13"/>
      <c r="M6" s="13"/>
    </row>
    <row r="7" spans="1:58" x14ac:dyDescent="0.2">
      <c r="A7" s="9" t="str">
        <f ca="1">IF($D7="", "", INDIRECT("$D7"))</f>
        <v/>
      </c>
      <c r="B7" s="9"/>
      <c r="C7" s="10"/>
      <c r="H7" s="12" t="str">
        <f t="shared" ref="H7:H70" si="0">IF($G7="Lab Medicine", "Streck", IF($G7="IMF", "CPT", ""))</f>
        <v/>
      </c>
      <c r="L7" s="13"/>
      <c r="M7" s="13"/>
    </row>
    <row r="8" spans="1:58" x14ac:dyDescent="0.2">
      <c r="A8" s="9" t="str">
        <f ca="1">IF($D8="", "", INDIRECT("$D8"))</f>
        <v/>
      </c>
      <c r="B8" s="9"/>
      <c r="C8" s="10"/>
      <c r="H8" s="12" t="str">
        <f t="shared" si="0"/>
        <v/>
      </c>
      <c r="L8" s="13"/>
      <c r="M8" s="13"/>
    </row>
    <row r="9" spans="1:58" x14ac:dyDescent="0.2">
      <c r="A9" s="9" t="str">
        <f ca="1">IF($D9="", "", INDIRECT("$D9"))</f>
        <v/>
      </c>
      <c r="B9" s="9"/>
      <c r="C9" s="10"/>
      <c r="H9" s="12" t="str">
        <f t="shared" si="0"/>
        <v/>
      </c>
      <c r="L9" s="13"/>
      <c r="M9" s="13"/>
    </row>
    <row r="10" spans="1:58" x14ac:dyDescent="0.2">
      <c r="A10" s="9" t="str">
        <f ca="1">IF($D10="", "", INDIRECT("$D10"))</f>
        <v/>
      </c>
      <c r="B10" s="9"/>
      <c r="C10" s="10"/>
      <c r="H10" s="12" t="str">
        <f t="shared" si="0"/>
        <v/>
      </c>
      <c r="L10" s="13"/>
      <c r="M10" s="13"/>
    </row>
    <row r="11" spans="1:58" x14ac:dyDescent="0.2">
      <c r="A11" s="9" t="str">
        <f ca="1">IF($D11="", "", INDIRECT("$D11"))</f>
        <v/>
      </c>
      <c r="B11" s="9"/>
      <c r="C11" s="10"/>
      <c r="H11" s="12" t="str">
        <f t="shared" si="0"/>
        <v/>
      </c>
      <c r="L11" s="13"/>
      <c r="M11" s="13"/>
    </row>
    <row r="12" spans="1:58" x14ac:dyDescent="0.2">
      <c r="A12" s="9" t="str">
        <f ca="1">IF($D12="", "", INDIRECT("$D12"))</f>
        <v/>
      </c>
      <c r="B12" s="9"/>
      <c r="C12" s="10"/>
      <c r="H12" s="12" t="str">
        <f t="shared" si="0"/>
        <v/>
      </c>
      <c r="L12" s="13"/>
      <c r="M12" s="13"/>
    </row>
    <row r="13" spans="1:58" x14ac:dyDescent="0.2">
      <c r="A13" s="9" t="str">
        <f ca="1">IF($D13="", "", INDIRECT("$D13"))</f>
        <v/>
      </c>
      <c r="B13" s="9"/>
      <c r="C13" s="10"/>
      <c r="H13" s="12" t="str">
        <f t="shared" si="0"/>
        <v/>
      </c>
      <c r="L13" s="13"/>
      <c r="M13" s="13"/>
    </row>
    <row r="14" spans="1:58" x14ac:dyDescent="0.2">
      <c r="A14" s="9" t="str">
        <f ca="1">IF($D14="", "", INDIRECT("$D14"))</f>
        <v/>
      </c>
      <c r="B14" s="9"/>
      <c r="C14" s="10"/>
      <c r="H14" s="12" t="str">
        <f t="shared" si="0"/>
        <v/>
      </c>
      <c r="L14" s="13"/>
      <c r="M14" s="13"/>
    </row>
    <row r="15" spans="1:58" x14ac:dyDescent="0.2">
      <c r="A15" s="9" t="str">
        <f ca="1">IF($D15="", "", INDIRECT("$D15"))</f>
        <v/>
      </c>
      <c r="B15" s="9"/>
      <c r="C15" s="10"/>
      <c r="H15" s="12" t="str">
        <f t="shared" si="0"/>
        <v/>
      </c>
      <c r="L15" s="13"/>
      <c r="M15" s="13"/>
    </row>
    <row r="16" spans="1:58" x14ac:dyDescent="0.2">
      <c r="A16" s="9" t="str">
        <f ca="1">IF($D16="", "", INDIRECT("$D16"))</f>
        <v/>
      </c>
      <c r="B16" s="9"/>
      <c r="C16" s="10"/>
      <c r="H16" s="12" t="str">
        <f t="shared" si="0"/>
        <v/>
      </c>
      <c r="L16" s="13"/>
      <c r="M16" s="13"/>
    </row>
    <row r="17" spans="1:13" x14ac:dyDescent="0.2">
      <c r="A17" s="9" t="str">
        <f ca="1">IF($D17="", "", INDIRECT("$D17"))</f>
        <v/>
      </c>
      <c r="B17" s="9"/>
      <c r="C17" s="10"/>
      <c r="H17" s="12" t="str">
        <f t="shared" si="0"/>
        <v/>
      </c>
      <c r="L17" s="13"/>
      <c r="M17" s="13"/>
    </row>
    <row r="18" spans="1:13" x14ac:dyDescent="0.2">
      <c r="A18" s="9" t="str">
        <f ca="1">IF($D18="", "", INDIRECT("$D18"))</f>
        <v/>
      </c>
      <c r="B18" s="9"/>
      <c r="C18" s="10"/>
      <c r="H18" s="12" t="str">
        <f t="shared" si="0"/>
        <v/>
      </c>
      <c r="L18" s="13"/>
      <c r="M18" s="13"/>
    </row>
    <row r="19" spans="1:13" x14ac:dyDescent="0.2">
      <c r="A19" s="9" t="str">
        <f ca="1">IF($D19="", "", INDIRECT("$D19"))</f>
        <v/>
      </c>
      <c r="B19" s="9"/>
      <c r="C19" s="10"/>
      <c r="H19" s="12" t="str">
        <f t="shared" si="0"/>
        <v/>
      </c>
      <c r="L19" s="13"/>
      <c r="M19" s="13"/>
    </row>
    <row r="20" spans="1:13" x14ac:dyDescent="0.2">
      <c r="A20" s="9" t="str">
        <f ca="1">IF($D20="", "", INDIRECT("$D20"))</f>
        <v/>
      </c>
      <c r="B20" s="9"/>
      <c r="C20" s="10"/>
      <c r="H20" s="12" t="str">
        <f t="shared" si="0"/>
        <v/>
      </c>
      <c r="L20" s="13"/>
      <c r="M20" s="13"/>
    </row>
    <row r="21" spans="1:13" x14ac:dyDescent="0.2">
      <c r="A21" s="9" t="str">
        <f ca="1">IF($D21="", "", INDIRECT("$D21"))</f>
        <v/>
      </c>
      <c r="B21" s="9"/>
      <c r="C21" s="10"/>
      <c r="H21" s="12" t="str">
        <f t="shared" si="0"/>
        <v/>
      </c>
      <c r="L21" s="13"/>
      <c r="M21" s="13"/>
    </row>
    <row r="22" spans="1:13" x14ac:dyDescent="0.2">
      <c r="A22" s="9" t="str">
        <f ca="1">IF($D22="", "", INDIRECT("$D22"))</f>
        <v/>
      </c>
      <c r="B22" s="9"/>
      <c r="C22" s="10"/>
      <c r="H22" s="12" t="str">
        <f t="shared" si="0"/>
        <v/>
      </c>
      <c r="L22" s="13"/>
      <c r="M22" s="13"/>
    </row>
    <row r="23" spans="1:13" x14ac:dyDescent="0.2">
      <c r="A23" s="9" t="str">
        <f ca="1">IF($D23="", "", INDIRECT("$D23"))</f>
        <v/>
      </c>
      <c r="B23" s="9"/>
      <c r="C23" s="10"/>
      <c r="H23" s="12" t="str">
        <f t="shared" si="0"/>
        <v/>
      </c>
      <c r="L23" s="13"/>
      <c r="M23" s="13"/>
    </row>
    <row r="24" spans="1:13" x14ac:dyDescent="0.2">
      <c r="A24" s="9" t="str">
        <f ca="1">IF($D24="", "", INDIRECT("$D24"))</f>
        <v/>
      </c>
      <c r="B24" s="9"/>
      <c r="C24" s="10"/>
      <c r="H24" s="12" t="str">
        <f t="shared" si="0"/>
        <v/>
      </c>
      <c r="L24" s="13"/>
      <c r="M24" s="13"/>
    </row>
    <row r="25" spans="1:13" x14ac:dyDescent="0.2">
      <c r="A25" s="9" t="str">
        <f ca="1">IF($D25="", "", INDIRECT("$D25"))</f>
        <v/>
      </c>
      <c r="B25" s="9"/>
      <c r="C25" s="10"/>
      <c r="H25" s="12" t="str">
        <f t="shared" si="0"/>
        <v/>
      </c>
      <c r="L25" s="13"/>
      <c r="M25" s="13"/>
    </row>
    <row r="26" spans="1:13" x14ac:dyDescent="0.2">
      <c r="A26" s="9" t="str">
        <f ca="1">IF($D26="", "", INDIRECT("$D26"))</f>
        <v/>
      </c>
      <c r="B26" s="9"/>
      <c r="C26" s="10"/>
      <c r="H26" s="12" t="str">
        <f t="shared" si="0"/>
        <v/>
      </c>
      <c r="L26" s="13"/>
      <c r="M26" s="13"/>
    </row>
    <row r="27" spans="1:13" x14ac:dyDescent="0.2">
      <c r="A27" s="9" t="str">
        <f ca="1">IF($D27="", "", INDIRECT("$D27"))</f>
        <v/>
      </c>
      <c r="B27" s="9"/>
      <c r="C27" s="10"/>
      <c r="H27" s="12" t="str">
        <f t="shared" si="0"/>
        <v/>
      </c>
      <c r="L27" s="13"/>
      <c r="M27" s="13"/>
    </row>
    <row r="28" spans="1:13" x14ac:dyDescent="0.2">
      <c r="A28" s="9" t="str">
        <f ca="1">IF($D28="", "", INDIRECT("$D28"))</f>
        <v/>
      </c>
      <c r="B28" s="9"/>
      <c r="C28" s="10"/>
      <c r="H28" s="12" t="str">
        <f t="shared" si="0"/>
        <v/>
      </c>
      <c r="L28" s="13"/>
      <c r="M28" s="13"/>
    </row>
    <row r="29" spans="1:13" x14ac:dyDescent="0.2">
      <c r="A29" s="9" t="str">
        <f ca="1">IF($D29="", "", INDIRECT("$D29"))</f>
        <v/>
      </c>
      <c r="B29" s="9"/>
      <c r="C29" s="10"/>
      <c r="H29" s="12" t="str">
        <f t="shared" si="0"/>
        <v/>
      </c>
      <c r="L29" s="13"/>
      <c r="M29" s="13"/>
    </row>
    <row r="30" spans="1:13" x14ac:dyDescent="0.2">
      <c r="A30" s="9" t="str">
        <f ca="1">IF($D30="", "", INDIRECT("$D30"))</f>
        <v/>
      </c>
      <c r="B30" s="9"/>
      <c r="C30" s="10"/>
      <c r="H30" s="12" t="str">
        <f t="shared" si="0"/>
        <v/>
      </c>
      <c r="L30" s="13"/>
      <c r="M30" s="13"/>
    </row>
    <row r="31" spans="1:13" x14ac:dyDescent="0.2">
      <c r="A31" s="9" t="str">
        <f ca="1">IF($D31="", "", INDIRECT("$D31"))</f>
        <v/>
      </c>
      <c r="B31" s="9"/>
      <c r="C31" s="10"/>
      <c r="H31" s="12" t="str">
        <f t="shared" si="0"/>
        <v/>
      </c>
      <c r="L31" s="13"/>
      <c r="M31" s="13"/>
    </row>
    <row r="32" spans="1:13" x14ac:dyDescent="0.2">
      <c r="A32" s="9" t="str">
        <f ca="1">IF($D32="", "", INDIRECT("$D32"))</f>
        <v/>
      </c>
      <c r="B32" s="9"/>
      <c r="C32" s="10"/>
      <c r="H32" s="12" t="str">
        <f t="shared" si="0"/>
        <v/>
      </c>
      <c r="L32" s="13"/>
      <c r="M32" s="13"/>
    </row>
    <row r="33" spans="1:13" x14ac:dyDescent="0.2">
      <c r="A33" s="9" t="str">
        <f ca="1">IF($D33="", "", INDIRECT("$D33"))</f>
        <v/>
      </c>
      <c r="B33" s="9"/>
      <c r="C33" s="10"/>
      <c r="H33" s="12" t="str">
        <f t="shared" si="0"/>
        <v/>
      </c>
      <c r="L33" s="13"/>
      <c r="M33" s="13"/>
    </row>
    <row r="34" spans="1:13" x14ac:dyDescent="0.2">
      <c r="A34" s="9" t="str">
        <f ca="1">IF($D34="", "", INDIRECT("$D34"))</f>
        <v/>
      </c>
      <c r="B34" s="9"/>
      <c r="C34" s="10"/>
      <c r="H34" s="12" t="str">
        <f t="shared" si="0"/>
        <v/>
      </c>
      <c r="L34" s="13"/>
      <c r="M34" s="13"/>
    </row>
    <row r="35" spans="1:13" x14ac:dyDescent="0.2">
      <c r="A35" s="9" t="str">
        <f ca="1">IF($D35="", "", INDIRECT("$D35"))</f>
        <v/>
      </c>
      <c r="B35" s="9"/>
      <c r="C35" s="10"/>
      <c r="H35" s="12" t="str">
        <f t="shared" si="0"/>
        <v/>
      </c>
      <c r="L35" s="13"/>
      <c r="M35" s="13"/>
    </row>
    <row r="36" spans="1:13" x14ac:dyDescent="0.2">
      <c r="A36" s="9" t="str">
        <f ca="1">IF($D36="", "", INDIRECT("$D36"))</f>
        <v/>
      </c>
      <c r="B36" s="9"/>
      <c r="C36" s="10"/>
      <c r="H36" s="12" t="str">
        <f t="shared" si="0"/>
        <v/>
      </c>
      <c r="L36" s="13"/>
      <c r="M36" s="13"/>
    </row>
    <row r="37" spans="1:13" x14ac:dyDescent="0.2">
      <c r="A37" s="9" t="str">
        <f ca="1">IF($D37="", "", INDIRECT("$D37"))</f>
        <v/>
      </c>
      <c r="B37" s="9"/>
      <c r="C37" s="10"/>
      <c r="H37" s="12" t="str">
        <f t="shared" si="0"/>
        <v/>
      </c>
      <c r="L37" s="13"/>
      <c r="M37" s="13"/>
    </row>
    <row r="38" spans="1:13" x14ac:dyDescent="0.2">
      <c r="A38" s="9" t="str">
        <f ca="1">IF($D38="", "", INDIRECT("$D38"))</f>
        <v/>
      </c>
      <c r="B38" s="9"/>
      <c r="C38" s="10"/>
      <c r="H38" s="12" t="str">
        <f t="shared" si="0"/>
        <v/>
      </c>
      <c r="L38" s="13"/>
      <c r="M38" s="13"/>
    </row>
    <row r="39" spans="1:13" x14ac:dyDescent="0.2">
      <c r="A39" s="9" t="str">
        <f ca="1">IF($D39="", "", INDIRECT("$D39"))</f>
        <v/>
      </c>
      <c r="B39" s="9"/>
      <c r="C39" s="10"/>
      <c r="H39" s="12" t="str">
        <f t="shared" si="0"/>
        <v/>
      </c>
      <c r="L39" s="13"/>
      <c r="M39" s="13"/>
    </row>
    <row r="40" spans="1:13" x14ac:dyDescent="0.2">
      <c r="A40" s="9" t="str">
        <f ca="1">IF($D40="", "", INDIRECT("$D40"))</f>
        <v/>
      </c>
      <c r="B40" s="9"/>
      <c r="C40" s="10"/>
      <c r="H40" s="12" t="str">
        <f t="shared" si="0"/>
        <v/>
      </c>
      <c r="L40" s="13"/>
      <c r="M40" s="13"/>
    </row>
    <row r="41" spans="1:13" x14ac:dyDescent="0.2">
      <c r="A41" s="9" t="str">
        <f ca="1">IF($D41="", "", INDIRECT("$D41"))</f>
        <v/>
      </c>
      <c r="B41" s="9"/>
      <c r="C41" s="10"/>
      <c r="H41" s="12" t="str">
        <f t="shared" si="0"/>
        <v/>
      </c>
      <c r="L41" s="13"/>
      <c r="M41" s="13"/>
    </row>
    <row r="42" spans="1:13" x14ac:dyDescent="0.2">
      <c r="A42" s="9" t="str">
        <f ca="1">IF($D42="", "", INDIRECT("$D42"))</f>
        <v/>
      </c>
      <c r="B42" s="9"/>
      <c r="C42" s="10"/>
      <c r="H42" s="12" t="str">
        <f t="shared" si="0"/>
        <v/>
      </c>
      <c r="L42" s="13"/>
      <c r="M42" s="13"/>
    </row>
    <row r="43" spans="1:13" x14ac:dyDescent="0.2">
      <c r="A43" s="9" t="str">
        <f ca="1">IF($D43="", "", INDIRECT("$D43"))</f>
        <v/>
      </c>
      <c r="B43" s="9"/>
      <c r="C43" s="10"/>
      <c r="H43" s="12" t="str">
        <f t="shared" si="0"/>
        <v/>
      </c>
      <c r="L43" s="13"/>
      <c r="M43" s="13"/>
    </row>
    <row r="44" spans="1:13" x14ac:dyDescent="0.2">
      <c r="A44" s="9" t="str">
        <f ca="1">IF($D44="", "", INDIRECT("$D44"))</f>
        <v/>
      </c>
      <c r="B44" s="9"/>
      <c r="C44" s="10"/>
      <c r="H44" s="12" t="str">
        <f t="shared" si="0"/>
        <v/>
      </c>
      <c r="L44" s="13"/>
      <c r="M44" s="13"/>
    </row>
    <row r="45" spans="1:13" x14ac:dyDescent="0.2">
      <c r="A45" s="9" t="str">
        <f ca="1">IF($D45="", "", INDIRECT("$D45"))</f>
        <v/>
      </c>
      <c r="B45" s="9"/>
      <c r="C45" s="10"/>
      <c r="H45" s="12" t="str">
        <f t="shared" si="0"/>
        <v/>
      </c>
      <c r="L45" s="13"/>
      <c r="M45" s="13"/>
    </row>
    <row r="46" spans="1:13" x14ac:dyDescent="0.2">
      <c r="A46" s="9" t="str">
        <f ca="1">IF($D46="", "", INDIRECT("$D46"))</f>
        <v/>
      </c>
      <c r="B46" s="9"/>
      <c r="C46" s="10"/>
      <c r="H46" s="12" t="str">
        <f t="shared" si="0"/>
        <v/>
      </c>
      <c r="L46" s="13"/>
      <c r="M46" s="13"/>
    </row>
    <row r="47" spans="1:13" x14ac:dyDescent="0.2">
      <c r="A47" s="9" t="str">
        <f ca="1">IF($D47="", "", INDIRECT("$D47"))</f>
        <v/>
      </c>
      <c r="B47" s="9"/>
      <c r="C47" s="10"/>
      <c r="H47" s="12" t="str">
        <f t="shared" si="0"/>
        <v/>
      </c>
      <c r="L47" s="13"/>
      <c r="M47" s="13"/>
    </row>
    <row r="48" spans="1:13" x14ac:dyDescent="0.2">
      <c r="A48" s="9" t="str">
        <f ca="1">IF($D48="", "", INDIRECT("$D48"))</f>
        <v/>
      </c>
      <c r="B48" s="9"/>
      <c r="C48" s="10"/>
      <c r="H48" s="12" t="str">
        <f t="shared" si="0"/>
        <v/>
      </c>
      <c r="L48" s="13"/>
      <c r="M48" s="13"/>
    </row>
    <row r="49" spans="1:13" x14ac:dyDescent="0.2">
      <c r="A49" s="9" t="str">
        <f ca="1">IF($D49="", "", INDIRECT("$D49"))</f>
        <v/>
      </c>
      <c r="B49" s="9"/>
      <c r="C49" s="10"/>
      <c r="H49" s="12" t="str">
        <f t="shared" si="0"/>
        <v/>
      </c>
      <c r="L49" s="13"/>
      <c r="M49" s="13"/>
    </row>
    <row r="50" spans="1:13" x14ac:dyDescent="0.2">
      <c r="A50" s="9" t="str">
        <f ca="1">IF($D50="", "", INDIRECT("$D50"))</f>
        <v/>
      </c>
      <c r="B50" s="9"/>
      <c r="C50" s="10"/>
      <c r="H50" s="12" t="str">
        <f t="shared" si="0"/>
        <v/>
      </c>
      <c r="L50" s="13"/>
      <c r="M50" s="13"/>
    </row>
    <row r="51" spans="1:13" x14ac:dyDescent="0.2">
      <c r="A51" s="9" t="str">
        <f ca="1">IF($D51="", "", INDIRECT("$D51"))</f>
        <v/>
      </c>
      <c r="B51" s="9"/>
      <c r="C51" s="10"/>
      <c r="H51" s="12" t="str">
        <f t="shared" si="0"/>
        <v/>
      </c>
      <c r="L51" s="13"/>
      <c r="M51" s="13"/>
    </row>
    <row r="52" spans="1:13" x14ac:dyDescent="0.2">
      <c r="A52" s="9" t="str">
        <f ca="1">IF($D52="", "", INDIRECT("$D52"))</f>
        <v/>
      </c>
      <c r="B52" s="9"/>
      <c r="C52" s="10"/>
      <c r="H52" s="12" t="str">
        <f t="shared" si="0"/>
        <v/>
      </c>
      <c r="L52" s="13"/>
      <c r="M52" s="13"/>
    </row>
    <row r="53" spans="1:13" x14ac:dyDescent="0.2">
      <c r="A53" s="9" t="str">
        <f ca="1">IF($D53="", "", INDIRECT("$D53"))</f>
        <v/>
      </c>
      <c r="B53" s="9"/>
      <c r="C53" s="10"/>
      <c r="H53" s="12" t="str">
        <f t="shared" si="0"/>
        <v/>
      </c>
      <c r="L53" s="13"/>
      <c r="M53" s="13"/>
    </row>
    <row r="54" spans="1:13" x14ac:dyDescent="0.2">
      <c r="A54" s="9" t="str">
        <f ca="1">IF($D54="", "", INDIRECT("$D54"))</f>
        <v/>
      </c>
      <c r="B54" s="9"/>
      <c r="C54" s="10"/>
      <c r="H54" s="12" t="str">
        <f t="shared" si="0"/>
        <v/>
      </c>
      <c r="L54" s="13"/>
      <c r="M54" s="13"/>
    </row>
    <row r="55" spans="1:13" x14ac:dyDescent="0.2">
      <c r="A55" s="9" t="str">
        <f ca="1">IF($D55="", "", INDIRECT("$D55"))</f>
        <v/>
      </c>
      <c r="B55" s="9"/>
      <c r="C55" s="10"/>
      <c r="H55" s="12" t="str">
        <f t="shared" si="0"/>
        <v/>
      </c>
      <c r="L55" s="13"/>
      <c r="M55" s="13"/>
    </row>
    <row r="56" spans="1:13" x14ac:dyDescent="0.2">
      <c r="A56" s="9" t="str">
        <f ca="1">IF($D56="", "", INDIRECT("$D56"))</f>
        <v/>
      </c>
      <c r="B56" s="9"/>
      <c r="C56" s="10"/>
      <c r="H56" s="12" t="str">
        <f t="shared" si="0"/>
        <v/>
      </c>
      <c r="L56" s="13"/>
      <c r="M56" s="13"/>
    </row>
    <row r="57" spans="1:13" x14ac:dyDescent="0.2">
      <c r="A57" s="9" t="str">
        <f ca="1">IF($D57="", "", INDIRECT("$D57"))</f>
        <v/>
      </c>
      <c r="B57" s="9"/>
      <c r="C57" s="10"/>
      <c r="H57" s="12" t="str">
        <f t="shared" si="0"/>
        <v/>
      </c>
      <c r="L57" s="13"/>
      <c r="M57" s="13"/>
    </row>
    <row r="58" spans="1:13" x14ac:dyDescent="0.2">
      <c r="A58" s="9" t="str">
        <f ca="1">IF($D58="", "", INDIRECT("$D58"))</f>
        <v/>
      </c>
      <c r="B58" s="9"/>
      <c r="C58" s="10"/>
      <c r="H58" s="12" t="str">
        <f t="shared" si="0"/>
        <v/>
      </c>
      <c r="L58" s="13"/>
      <c r="M58" s="13"/>
    </row>
    <row r="59" spans="1:13" x14ac:dyDescent="0.2">
      <c r="A59" s="9" t="str">
        <f ca="1">IF($D59="", "", INDIRECT("$D59"))</f>
        <v/>
      </c>
      <c r="B59" s="9"/>
      <c r="C59" s="10"/>
      <c r="H59" s="12" t="str">
        <f t="shared" si="0"/>
        <v/>
      </c>
      <c r="L59" s="13"/>
      <c r="M59" s="13"/>
    </row>
    <row r="60" spans="1:13" x14ac:dyDescent="0.2">
      <c r="A60" s="9" t="str">
        <f ca="1">IF($D60="", "", INDIRECT("$D60"))</f>
        <v/>
      </c>
      <c r="B60" s="9"/>
      <c r="C60" s="10"/>
      <c r="H60" s="12" t="str">
        <f t="shared" si="0"/>
        <v/>
      </c>
      <c r="L60" s="13"/>
      <c r="M60" s="13"/>
    </row>
    <row r="61" spans="1:13" x14ac:dyDescent="0.2">
      <c r="A61" s="9" t="str">
        <f ca="1">IF($D61="", "", INDIRECT("$D61"))</f>
        <v/>
      </c>
      <c r="B61" s="9"/>
      <c r="C61" s="10"/>
      <c r="H61" s="12" t="str">
        <f t="shared" si="0"/>
        <v/>
      </c>
      <c r="L61" s="13"/>
      <c r="M61" s="13"/>
    </row>
    <row r="62" spans="1:13" x14ac:dyDescent="0.2">
      <c r="A62" s="9" t="str">
        <f ca="1">IF($D62="", "", INDIRECT("$D62"))</f>
        <v/>
      </c>
      <c r="B62" s="9"/>
      <c r="C62" s="10"/>
      <c r="H62" s="12" t="str">
        <f t="shared" si="0"/>
        <v/>
      </c>
      <c r="L62" s="13"/>
      <c r="M62" s="13"/>
    </row>
    <row r="63" spans="1:13" x14ac:dyDescent="0.2">
      <c r="A63" s="9" t="str">
        <f ca="1">IF($D63="", "", INDIRECT("$D63"))</f>
        <v/>
      </c>
      <c r="B63" s="9"/>
      <c r="C63" s="10"/>
      <c r="H63" s="12" t="str">
        <f t="shared" si="0"/>
        <v/>
      </c>
      <c r="L63" s="13"/>
      <c r="M63" s="13"/>
    </row>
    <row r="64" spans="1:13" x14ac:dyDescent="0.2">
      <c r="A64" s="9" t="str">
        <f ca="1">IF($D64="", "", INDIRECT("$D64"))</f>
        <v/>
      </c>
      <c r="B64" s="9"/>
      <c r="C64" s="10"/>
      <c r="H64" s="12" t="str">
        <f t="shared" si="0"/>
        <v/>
      </c>
      <c r="L64" s="13"/>
      <c r="M64" s="13"/>
    </row>
    <row r="65" spans="1:13" x14ac:dyDescent="0.2">
      <c r="A65" s="9" t="str">
        <f ca="1">IF($D65="", "", INDIRECT("$D65"))</f>
        <v/>
      </c>
      <c r="B65" s="9"/>
      <c r="C65" s="10"/>
      <c r="H65" s="12" t="str">
        <f t="shared" si="0"/>
        <v/>
      </c>
      <c r="L65" s="13"/>
      <c r="M65" s="13"/>
    </row>
    <row r="66" spans="1:13" x14ac:dyDescent="0.2">
      <c r="A66" s="9" t="str">
        <f ca="1">IF($D66="", "", INDIRECT("$D66"))</f>
        <v/>
      </c>
      <c r="B66" s="9"/>
      <c r="C66" s="10"/>
      <c r="H66" s="12" t="str">
        <f t="shared" si="0"/>
        <v/>
      </c>
      <c r="L66" s="13"/>
      <c r="M66" s="13"/>
    </row>
    <row r="67" spans="1:13" x14ac:dyDescent="0.2">
      <c r="A67" s="9" t="str">
        <f ca="1">IF($D67="", "", INDIRECT("$D67"))</f>
        <v/>
      </c>
      <c r="B67" s="9"/>
      <c r="C67" s="10"/>
      <c r="H67" s="12" t="str">
        <f t="shared" si="0"/>
        <v/>
      </c>
      <c r="L67" s="13"/>
      <c r="M67" s="13"/>
    </row>
    <row r="68" spans="1:13" x14ac:dyDescent="0.2">
      <c r="A68" s="9" t="str">
        <f ca="1">IF($D68="", "", INDIRECT("$D68"))</f>
        <v/>
      </c>
      <c r="B68" s="9"/>
      <c r="C68" s="10"/>
      <c r="H68" s="12" t="str">
        <f t="shared" si="0"/>
        <v/>
      </c>
      <c r="L68" s="13"/>
      <c r="M68" s="13"/>
    </row>
    <row r="69" spans="1:13" x14ac:dyDescent="0.2">
      <c r="A69" s="9" t="str">
        <f ca="1">IF($D69="", "", INDIRECT("$D69"))</f>
        <v/>
      </c>
      <c r="B69" s="9"/>
      <c r="C69" s="10"/>
      <c r="H69" s="12" t="str">
        <f t="shared" si="0"/>
        <v/>
      </c>
      <c r="L69" s="13"/>
      <c r="M69" s="13"/>
    </row>
    <row r="70" spans="1:13" x14ac:dyDescent="0.2">
      <c r="A70" s="9" t="str">
        <f ca="1">IF($D70="", "", INDIRECT("$D70"))</f>
        <v/>
      </c>
      <c r="B70" s="9"/>
      <c r="C70" s="10"/>
      <c r="H70" s="12" t="str">
        <f t="shared" si="0"/>
        <v/>
      </c>
      <c r="L70" s="13"/>
      <c r="M70" s="13"/>
    </row>
    <row r="71" spans="1:13" x14ac:dyDescent="0.2">
      <c r="A71" s="9" t="str">
        <f ca="1">IF($D71="", "", INDIRECT("$D71"))</f>
        <v/>
      </c>
      <c r="B71" s="9"/>
      <c r="C71" s="10"/>
      <c r="H71" s="12" t="str">
        <f t="shared" ref="H71:H100" si="1">IF($G71="Lab Medicine", "Streck", IF($G71="IMF", "CPT", ""))</f>
        <v/>
      </c>
      <c r="L71" s="13"/>
      <c r="M71" s="13"/>
    </row>
    <row r="72" spans="1:13" x14ac:dyDescent="0.2">
      <c r="A72" s="9" t="str">
        <f ca="1">IF($D72="", "", INDIRECT("$D72"))</f>
        <v/>
      </c>
      <c r="B72" s="9"/>
      <c r="C72" s="10"/>
      <c r="H72" s="12" t="str">
        <f t="shared" si="1"/>
        <v/>
      </c>
      <c r="L72" s="13"/>
      <c r="M72" s="13"/>
    </row>
    <row r="73" spans="1:13" x14ac:dyDescent="0.2">
      <c r="A73" s="9" t="str">
        <f ca="1">IF($D73="", "", INDIRECT("$D73"))</f>
        <v/>
      </c>
      <c r="B73" s="9"/>
      <c r="C73" s="10"/>
      <c r="H73" s="12" t="str">
        <f t="shared" si="1"/>
        <v/>
      </c>
      <c r="L73" s="13"/>
      <c r="M73" s="13"/>
    </row>
    <row r="74" spans="1:13" x14ac:dyDescent="0.2">
      <c r="A74" s="9" t="str">
        <f ca="1">IF($D74="", "", INDIRECT("$D74"))</f>
        <v/>
      </c>
      <c r="B74" s="9"/>
      <c r="C74" s="10"/>
      <c r="H74" s="12" t="str">
        <f t="shared" si="1"/>
        <v/>
      </c>
      <c r="L74" s="13"/>
      <c r="M74" s="13"/>
    </row>
    <row r="75" spans="1:13" x14ac:dyDescent="0.2">
      <c r="A75" s="9" t="str">
        <f ca="1">IF($D75="", "", INDIRECT("$D75"))</f>
        <v/>
      </c>
      <c r="B75" s="9"/>
      <c r="C75" s="10"/>
      <c r="H75" s="12" t="str">
        <f t="shared" si="1"/>
        <v/>
      </c>
      <c r="L75" s="13"/>
      <c r="M75" s="13"/>
    </row>
    <row r="76" spans="1:13" x14ac:dyDescent="0.2">
      <c r="A76" s="9" t="str">
        <f ca="1">IF($D76="", "", INDIRECT("$D76"))</f>
        <v/>
      </c>
      <c r="B76" s="9"/>
      <c r="C76" s="10"/>
      <c r="H76" s="12" t="str">
        <f t="shared" si="1"/>
        <v/>
      </c>
      <c r="L76" s="13"/>
      <c r="M76" s="13"/>
    </row>
    <row r="77" spans="1:13" x14ac:dyDescent="0.2">
      <c r="A77" s="9" t="str">
        <f ca="1">IF($D77="", "", INDIRECT("$D77"))</f>
        <v/>
      </c>
      <c r="B77" s="9"/>
      <c r="C77" s="10"/>
      <c r="H77" s="12" t="str">
        <f t="shared" si="1"/>
        <v/>
      </c>
      <c r="L77" s="13"/>
      <c r="M77" s="13"/>
    </row>
    <row r="78" spans="1:13" x14ac:dyDescent="0.2">
      <c r="A78" s="9" t="str">
        <f ca="1">IF($D78="", "", INDIRECT("$D78"))</f>
        <v/>
      </c>
      <c r="B78" s="9"/>
      <c r="C78" s="10"/>
      <c r="H78" s="12" t="str">
        <f t="shared" si="1"/>
        <v/>
      </c>
      <c r="L78" s="13"/>
      <c r="M78" s="13"/>
    </row>
    <row r="79" spans="1:13" x14ac:dyDescent="0.2">
      <c r="A79" s="9" t="str">
        <f ca="1">IF($D79="", "", INDIRECT("$D79"))</f>
        <v/>
      </c>
      <c r="B79" s="9"/>
      <c r="C79" s="10"/>
      <c r="H79" s="12" t="str">
        <f t="shared" si="1"/>
        <v/>
      </c>
      <c r="L79" s="13"/>
      <c r="M79" s="13"/>
    </row>
    <row r="80" spans="1:13" x14ac:dyDescent="0.2">
      <c r="A80" s="9" t="str">
        <f ca="1">IF($D80="", "", INDIRECT("$D80"))</f>
        <v/>
      </c>
      <c r="B80" s="9"/>
      <c r="C80" s="10"/>
      <c r="H80" s="12" t="str">
        <f t="shared" si="1"/>
        <v/>
      </c>
      <c r="L80" s="13"/>
      <c r="M80" s="13"/>
    </row>
    <row r="81" spans="1:13" x14ac:dyDescent="0.2">
      <c r="A81" s="9" t="str">
        <f ca="1">IF($D81="", "", INDIRECT("$D81"))</f>
        <v/>
      </c>
      <c r="B81" s="9"/>
      <c r="C81" s="10"/>
      <c r="H81" s="12" t="str">
        <f t="shared" si="1"/>
        <v/>
      </c>
      <c r="L81" s="13"/>
      <c r="M81" s="13"/>
    </row>
    <row r="82" spans="1:13" x14ac:dyDescent="0.2">
      <c r="A82" s="9" t="str">
        <f ca="1">IF($D82="", "", INDIRECT("$D82"))</f>
        <v/>
      </c>
      <c r="B82" s="9"/>
      <c r="C82" s="10"/>
      <c r="H82" s="12" t="str">
        <f t="shared" si="1"/>
        <v/>
      </c>
      <c r="L82" s="13"/>
      <c r="M82" s="13"/>
    </row>
    <row r="83" spans="1:13" x14ac:dyDescent="0.2">
      <c r="A83" s="9" t="str">
        <f ca="1">IF($D83="", "", INDIRECT("$D83"))</f>
        <v/>
      </c>
      <c r="B83" s="9"/>
      <c r="C83" s="10"/>
      <c r="H83" s="12" t="str">
        <f t="shared" si="1"/>
        <v/>
      </c>
      <c r="L83" s="13"/>
      <c r="M83" s="13"/>
    </row>
    <row r="84" spans="1:13" x14ac:dyDescent="0.2">
      <c r="A84" s="9" t="str">
        <f ca="1">IF($D84="", "", INDIRECT("$D84"))</f>
        <v/>
      </c>
      <c r="B84" s="9"/>
      <c r="C84" s="10"/>
      <c r="H84" s="12" t="str">
        <f t="shared" si="1"/>
        <v/>
      </c>
      <c r="L84" s="13"/>
      <c r="M84" s="13"/>
    </row>
    <row r="85" spans="1:13" x14ac:dyDescent="0.2">
      <c r="A85" s="9" t="str">
        <f ca="1">IF($D85="", "", INDIRECT("$D85"))</f>
        <v/>
      </c>
      <c r="B85" s="9"/>
      <c r="C85" s="10"/>
      <c r="H85" s="12" t="str">
        <f t="shared" si="1"/>
        <v/>
      </c>
      <c r="L85" s="13"/>
      <c r="M85" s="13"/>
    </row>
    <row r="86" spans="1:13" x14ac:dyDescent="0.2">
      <c r="A86" s="9" t="str">
        <f ca="1">IF($D86="", "", INDIRECT("$D86"))</f>
        <v/>
      </c>
      <c r="B86" s="9"/>
      <c r="C86" s="10"/>
      <c r="H86" s="12" t="str">
        <f t="shared" si="1"/>
        <v/>
      </c>
      <c r="L86" s="13"/>
      <c r="M86" s="13"/>
    </row>
    <row r="87" spans="1:13" x14ac:dyDescent="0.2">
      <c r="A87" s="9" t="str">
        <f ca="1">IF($D87="", "", INDIRECT("$D87"))</f>
        <v/>
      </c>
      <c r="B87" s="9"/>
      <c r="C87" s="10"/>
      <c r="H87" s="12" t="str">
        <f t="shared" si="1"/>
        <v/>
      </c>
      <c r="L87" s="13"/>
      <c r="M87" s="13"/>
    </row>
    <row r="88" spans="1:13" x14ac:dyDescent="0.2">
      <c r="A88" s="9" t="str">
        <f ca="1">IF($D88="", "", INDIRECT("$D88"))</f>
        <v/>
      </c>
      <c r="B88" s="9"/>
      <c r="C88" s="10"/>
      <c r="H88" s="12" t="str">
        <f t="shared" si="1"/>
        <v/>
      </c>
      <c r="L88" s="13"/>
      <c r="M88" s="13"/>
    </row>
    <row r="89" spans="1:13" x14ac:dyDescent="0.2">
      <c r="A89" s="9" t="str">
        <f ca="1">IF($D89="", "", INDIRECT("$D89"))</f>
        <v/>
      </c>
      <c r="B89" s="9"/>
      <c r="C89" s="10"/>
      <c r="H89" s="12" t="str">
        <f t="shared" si="1"/>
        <v/>
      </c>
      <c r="L89" s="13"/>
      <c r="M89" s="13"/>
    </row>
    <row r="90" spans="1:13" x14ac:dyDescent="0.2">
      <c r="A90" s="9" t="str">
        <f ca="1">IF($D90="", "", INDIRECT("$D90"))</f>
        <v/>
      </c>
      <c r="B90" s="9"/>
      <c r="C90" s="10"/>
      <c r="H90" s="12" t="str">
        <f t="shared" si="1"/>
        <v/>
      </c>
      <c r="L90" s="13"/>
      <c r="M90" s="13"/>
    </row>
    <row r="91" spans="1:13" x14ac:dyDescent="0.2">
      <c r="A91" s="9" t="str">
        <f ca="1">IF($D91="", "", INDIRECT("$D91"))</f>
        <v/>
      </c>
      <c r="B91" s="9"/>
      <c r="C91" s="10"/>
      <c r="H91" s="12" t="str">
        <f t="shared" si="1"/>
        <v/>
      </c>
      <c r="L91" s="13"/>
      <c r="M91" s="13"/>
    </row>
    <row r="92" spans="1:13" x14ac:dyDescent="0.2">
      <c r="A92" s="9" t="str">
        <f ca="1">IF($D92="", "", INDIRECT("$D92"))</f>
        <v/>
      </c>
      <c r="B92" s="9"/>
      <c r="C92" s="10"/>
      <c r="H92" s="12" t="str">
        <f t="shared" si="1"/>
        <v/>
      </c>
      <c r="L92" s="13"/>
      <c r="M92" s="13"/>
    </row>
    <row r="93" spans="1:13" x14ac:dyDescent="0.2">
      <c r="A93" s="9" t="str">
        <f ca="1">IF($D93="", "", INDIRECT("$D93"))</f>
        <v/>
      </c>
      <c r="B93" s="9"/>
      <c r="C93" s="10"/>
      <c r="H93" s="12" t="str">
        <f t="shared" si="1"/>
        <v/>
      </c>
      <c r="L93" s="13"/>
      <c r="M93" s="13"/>
    </row>
    <row r="94" spans="1:13" x14ac:dyDescent="0.2">
      <c r="A94" s="9" t="str">
        <f ca="1">IF($D94="", "", INDIRECT("$D94"))</f>
        <v/>
      </c>
      <c r="B94" s="9"/>
      <c r="C94" s="10"/>
      <c r="H94" s="12" t="str">
        <f t="shared" si="1"/>
        <v/>
      </c>
      <c r="L94" s="13"/>
      <c r="M94" s="13"/>
    </row>
    <row r="95" spans="1:13" x14ac:dyDescent="0.2">
      <c r="A95" s="9" t="str">
        <f ca="1">IF($D95="", "", INDIRECT("$D95"))</f>
        <v/>
      </c>
      <c r="B95" s="9"/>
      <c r="C95" s="10"/>
      <c r="H95" s="12" t="str">
        <f t="shared" si="1"/>
        <v/>
      </c>
      <c r="L95" s="13"/>
      <c r="M95" s="13"/>
    </row>
    <row r="96" spans="1:13" x14ac:dyDescent="0.2">
      <c r="A96" s="9" t="str">
        <f ca="1">IF($D96="", "", INDIRECT("$D96"))</f>
        <v/>
      </c>
      <c r="B96" s="9"/>
      <c r="C96" s="10"/>
      <c r="H96" s="12" t="str">
        <f t="shared" si="1"/>
        <v/>
      </c>
      <c r="L96" s="13"/>
      <c r="M96" s="13"/>
    </row>
    <row r="97" spans="1:13" x14ac:dyDescent="0.2">
      <c r="A97" s="9" t="str">
        <f ca="1">IF($D97="", "", INDIRECT("$D97"))</f>
        <v/>
      </c>
      <c r="B97" s="9"/>
      <c r="C97" s="10"/>
      <c r="H97" s="12" t="str">
        <f t="shared" si="1"/>
        <v/>
      </c>
      <c r="L97" s="13"/>
      <c r="M97" s="13"/>
    </row>
    <row r="98" spans="1:13" x14ac:dyDescent="0.2">
      <c r="A98" s="9" t="str">
        <f ca="1">IF($D98="", "", INDIRECT("$D98"))</f>
        <v/>
      </c>
      <c r="B98" s="9"/>
      <c r="C98" s="10"/>
      <c r="H98" s="12" t="str">
        <f t="shared" si="1"/>
        <v/>
      </c>
      <c r="L98" s="13"/>
      <c r="M98" s="13"/>
    </row>
    <row r="99" spans="1:13" x14ac:dyDescent="0.2">
      <c r="A99" s="9" t="str">
        <f ca="1">IF($D99="", "", INDIRECT("$D99"))</f>
        <v/>
      </c>
      <c r="B99" s="9"/>
      <c r="C99" s="10"/>
      <c r="H99" s="12" t="str">
        <f t="shared" si="1"/>
        <v/>
      </c>
      <c r="L99" s="13"/>
      <c r="M99" s="13"/>
    </row>
    <row r="100" spans="1:13" x14ac:dyDescent="0.2">
      <c r="A100" s="9" t="str">
        <f ca="1">IF($D100="", "", INDIRECT("$D100"))</f>
        <v/>
      </c>
      <c r="B100" s="9"/>
      <c r="C100" s="10"/>
      <c r="H100" s="12" t="str">
        <f t="shared" si="1"/>
        <v/>
      </c>
      <c r="L100" s="13"/>
      <c r="M100" s="13"/>
    </row>
    <row r="101" spans="1:13" x14ac:dyDescent="0.2">
      <c r="A101" s="4"/>
      <c r="B101" s="4"/>
      <c r="C101" s="4"/>
    </row>
    <row r="102" spans="1:13" x14ac:dyDescent="0.2">
      <c r="A102" s="4"/>
      <c r="B102" s="4"/>
      <c r="C102" s="4"/>
    </row>
    <row r="103" spans="1:13" x14ac:dyDescent="0.2">
      <c r="A103" s="4"/>
      <c r="B103" s="4"/>
      <c r="C103" s="4"/>
    </row>
    <row r="104" spans="1:13" x14ac:dyDescent="0.2">
      <c r="A104" s="4"/>
      <c r="B104" s="4"/>
      <c r="C104" s="4"/>
    </row>
  </sheetData>
  <dataConsolidate/>
  <mergeCells count="7">
    <mergeCell ref="AE3:AF3"/>
    <mergeCell ref="A3:I3"/>
    <mergeCell ref="J3:N3"/>
    <mergeCell ref="O3:R3"/>
    <mergeCell ref="W3:AA3"/>
    <mergeCell ref="AB3:AD3"/>
    <mergeCell ref="S3:V3"/>
  </mergeCells>
  <conditionalFormatting sqref="J6:N100">
    <cfRule type="notContainsBlanks" dxfId="16" priority="30">
      <formula>LEN(TRIM(J6))&gt;0</formula>
    </cfRule>
    <cfRule type="expression" dxfId="15" priority="32">
      <formula>$G6="Lab Medicine"</formula>
    </cfRule>
  </conditionalFormatting>
  <conditionalFormatting sqref="O6:R100">
    <cfRule type="notContainsBlanks" dxfId="14" priority="25">
      <formula>LEN(TRIM(O6))&gt;0</formula>
    </cfRule>
    <cfRule type="expression" dxfId="13" priority="26">
      <formula>$N6="Submitted"</formula>
    </cfRule>
    <cfRule type="expression" dxfId="12" priority="27">
      <formula>$N6="Extracted"</formula>
    </cfRule>
  </conditionalFormatting>
  <conditionalFormatting sqref="AB6:AF100">
    <cfRule type="notContainsBlanks" dxfId="11" priority="21">
      <formula>LEN(TRIM(AB6))&gt;0</formula>
    </cfRule>
  </conditionalFormatting>
  <conditionalFormatting sqref="J6:R100 W6:AF100">
    <cfRule type="expression" dxfId="10" priority="17">
      <formula>$G6="IMF"</formula>
    </cfRule>
  </conditionalFormatting>
  <conditionalFormatting sqref="S6:V100">
    <cfRule type="notContainsBlanks" dxfId="9" priority="8">
      <formula>LEN(TRIM(S6))&gt;0</formula>
    </cfRule>
    <cfRule type="expression" dxfId="8" priority="10">
      <formula>$G6="Lab Medicine"</formula>
    </cfRule>
    <cfRule type="expression" dxfId="7" priority="15">
      <formula>$G6="IMF"</formula>
    </cfRule>
  </conditionalFormatting>
  <conditionalFormatting sqref="O6:AF100">
    <cfRule type="expression" dxfId="6" priority="9">
      <formula>$N6="Stored"</formula>
    </cfRule>
  </conditionalFormatting>
  <conditionalFormatting sqref="W6:AF6">
    <cfRule type="expression" dxfId="5" priority="1">
      <formula>$V6="Stored"</formula>
    </cfRule>
    <cfRule type="expression" dxfId="4" priority="2">
      <formula>$V6="Extracted"</formula>
    </cfRule>
  </conditionalFormatting>
  <conditionalFormatting sqref="W6:AF100">
    <cfRule type="expression" dxfId="3" priority="33">
      <formula>$V6="Submitted"</formula>
    </cfRule>
    <cfRule type="notContainsBlanks" dxfId="2" priority="34">
      <formula>LEN(TRIM(W6))&gt;0</formula>
    </cfRule>
    <cfRule type="expression" dxfId="1" priority="35">
      <formula>$N6="Extracted"</formula>
    </cfRule>
    <cfRule type="expression" dxfId="0" priority="36">
      <formula>$N6="Submitted"</formula>
    </cfRule>
  </conditionalFormatting>
  <dataValidations count="7">
    <dataValidation allowBlank="1" showInputMessage="1" sqref="AC4:AD4 AC1:AD2 AC153:AD1048576" xr:uid="{B302C267-FF86-8246-A57D-8B14C4A1BB91}"/>
    <dataValidation type="date" allowBlank="1" showInputMessage="1" showErrorMessage="1" sqref="X6:X104 T6:U104 L6:L104" xr:uid="{F014844E-A375-E047-AD42-7B2D38C0FAF6}">
      <formula1>43101</formula1>
      <formula2>45658</formula2>
    </dataValidation>
    <dataValidation type="decimal" allowBlank="1" showInputMessage="1" showErrorMessage="1" sqref="O6:R104 V101:V104" xr:uid="{CCE98E26-B97B-404B-B046-C1395DF17207}">
      <formula1>0</formula1>
      <formula2>5000</formula2>
    </dataValidation>
    <dataValidation showInputMessage="1" showErrorMessage="1" sqref="E101:F104" xr:uid="{B85D0EB6-619A-094D-9255-7887E9543635}"/>
    <dataValidation type="list" allowBlank="1" showInputMessage="1" showErrorMessage="1" sqref="G101:G104" xr:uid="{40FE140F-1F8C-F147-953F-F40162691080}">
      <formula1>$D$3:$D$5</formula1>
    </dataValidation>
    <dataValidation type="list" allowBlank="1" showInputMessage="1" showErrorMessage="1" sqref="AD101:AD104" xr:uid="{5126BD91-F233-1E46-BAF4-260555B66115}">
      <formula1>$I$3:$I$4</formula1>
    </dataValidation>
    <dataValidation type="list" allowBlank="1" showInputMessage="1" showErrorMessage="1" sqref="S98:S104" xr:uid="{12921AED-1B7E-1242-8CD6-7C28014B98F8}">
      <formula1>$L$3:$L$10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Sheet1.expand_columns_and_copy_data_to_clipboard" altText="">
                <anchor moveWithCells="1" sizeWithCells="1">
                  <from>
                    <xdr:col>0</xdr:col>
                    <xdr:colOff>660400</xdr:colOff>
                    <xdr:row>0</xdr:row>
                    <xdr:rowOff>50800</xdr:rowOff>
                  </from>
                  <to>
                    <xdr:col>2</xdr:col>
                    <xdr:colOff>1066800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Sheet1.shrink_columns">
                <anchor moveWithCells="1" sizeWithCells="1">
                  <from>
                    <xdr:col>3</xdr:col>
                    <xdr:colOff>50800</xdr:colOff>
                    <xdr:row>0</xdr:row>
                    <xdr:rowOff>50800</xdr:rowOff>
                  </from>
                  <to>
                    <xdr:col>4</xdr:col>
                    <xdr:colOff>190500</xdr:colOff>
                    <xdr:row>2</xdr:row>
                    <xdr:rowOff>12700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7">
        <x14:dataValidation type="list" showInputMessage="1" showErrorMessage="1" xr:uid="{A73BA37C-3CAF-DC45-B692-B70298513C16}">
          <x14:formula1>
            <xm:f>Validations!$B$3:$B$103</xm:f>
          </x14:formula1>
          <xm:sqref>D5:D104 E5:F5</xm:sqref>
        </x14:dataValidation>
        <x14:dataValidation type="list" allowBlank="1" showInputMessage="1" showErrorMessage="1" xr:uid="{424399D5-F4BF-3F46-9705-5FC52A953A2A}">
          <x14:formula1>
            <xm:f>Validations!$E$3:$E$5</xm:f>
          </x14:formula1>
          <xm:sqref>H5 G6:G100</xm:sqref>
        </x14:dataValidation>
        <x14:dataValidation type="list" showInputMessage="1" showErrorMessage="1" xr:uid="{0DCE0FD2-8A64-494C-9BC3-DF12F1373896}">
          <x14:formula1>
            <xm:f>Validations!$G$3:$G$11</xm:f>
          </x14:formula1>
          <xm:sqref>I5</xm:sqref>
        </x14:dataValidation>
        <x14:dataValidation type="list" allowBlank="1" showInputMessage="1" showErrorMessage="1" xr:uid="{83667B9F-07A3-D74C-B4CF-9AA50DBFB5EC}">
          <x14:formula1>
            <xm:f>Validations!$J$3:$J$4</xm:f>
          </x14:formula1>
          <xm:sqref>L5 AD6:AD100</xm:sqref>
        </x14:dataValidation>
        <x14:dataValidation type="list" allowBlank="1" showInputMessage="1" showErrorMessage="1" xr:uid="{27883A48-6F3E-B746-8CBA-B79D3D79C16C}">
          <x14:formula1>
            <xm:f>Validations!$L$3:$L$11</xm:f>
          </x14:formula1>
          <xm:sqref>Q5</xm:sqref>
        </x14:dataValidation>
        <x14:dataValidation type="list" allowBlank="1" showInputMessage="1" showErrorMessage="1" xr:uid="{5D30115C-93E3-B74B-AB50-0B02FC33947D}">
          <x14:formula1>
            <xm:f>Validations!$M$3:$M$10</xm:f>
          </x14:formula1>
          <xm:sqref>S5</xm:sqref>
        </x14:dataValidation>
        <x14:dataValidation type="list" allowBlank="1" showInputMessage="1" showErrorMessage="1" xr:uid="{88CDDDF2-B056-8841-B160-FBA2ABDB4B3B}">
          <x14:formula1>
            <xm:f>Validations!$N$3:$N$5</xm:f>
          </x14:formula1>
          <xm:sqref>T5</xm:sqref>
        </x14:dataValidation>
        <x14:dataValidation type="list" allowBlank="1" showInputMessage="1" showErrorMessage="1" xr:uid="{7EFD55B9-9D04-604D-8A27-A9843B8D928B}">
          <x14:formula1>
            <xm:f>Validations!$P$3:$P$4</xm:f>
          </x14:formula1>
          <xm:sqref>X5</xm:sqref>
        </x14:dataValidation>
        <x14:dataValidation type="list" allowBlank="1" showInputMessage="1" showErrorMessage="1" xr:uid="{8E014C59-D7C4-6E4B-8057-6DFE49CC7F10}">
          <x14:formula1>
            <xm:f>Validations!$Q$3:$Q$6</xm:f>
          </x14:formula1>
          <xm:sqref>Y5</xm:sqref>
        </x14:dataValidation>
        <x14:dataValidation type="list" allowBlank="1" showInputMessage="1" showErrorMessage="1" xr:uid="{42AC76A7-E38E-8243-BE2E-0B85E206DF8C}">
          <x14:formula1>
            <xm:f>Validations!$R$3:$R$5</xm:f>
          </x14:formula1>
          <xm:sqref>AD5</xm:sqref>
        </x14:dataValidation>
        <x14:dataValidation type="list" allowBlank="1" showInputMessage="1" showErrorMessage="1" xr:uid="{ECBAC4AF-7327-0E4D-B5BA-83AB2C3DCECE}">
          <x14:formula1>
            <xm:f>Validations!$T$3:$T$4</xm:f>
          </x14:formula1>
          <xm:sqref>AC5:AD5</xm:sqref>
        </x14:dataValidation>
        <x14:dataValidation type="list" showInputMessage="1" showErrorMessage="1" xr:uid="{D781CA07-0ED4-9344-B2B2-02ED67C803E1}">
          <x14:formula1>
            <xm:f>Validations!$U$3:$U$4</xm:f>
          </x14:formula1>
          <xm:sqref>AI5:AI104</xm:sqref>
        </x14:dataValidation>
        <x14:dataValidation type="list" allowBlank="1" showInputMessage="1" showErrorMessage="1" xr:uid="{86063562-091E-2941-B30A-B7030C52D122}">
          <x14:formula1>
            <xm:f>Validations!$O$3:$O$5</xm:f>
          </x14:formula1>
          <xm:sqref>W5</xm:sqref>
        </x14:dataValidation>
        <x14:dataValidation type="list" allowBlank="1" showInputMessage="1" showErrorMessage="1" xr:uid="{39BDB017-2776-294D-A1E7-FB13E668F01F}">
          <x14:formula1>
            <xm:f>Validations!$O$5:$O$7</xm:f>
          </x14:formula1>
          <xm:sqref>AS5:AS104</xm:sqref>
        </x14:dataValidation>
        <x14:dataValidation type="list" allowBlank="1" showInputMessage="1" showErrorMessage="1" xr:uid="{108AE260-977C-CC47-B3C4-F44EE974120B}">
          <x14:formula1>
            <xm:f>Validations!$W$3:$W$4</xm:f>
          </x14:formula1>
          <xm:sqref>AV5:AV104</xm:sqref>
        </x14:dataValidation>
        <x14:dataValidation type="list" allowBlank="1" showInputMessage="1" showErrorMessage="1" xr:uid="{F09488BF-6BD0-B146-AF22-0615E435A468}">
          <x14:formula1>
            <xm:f>Validations!$X$3:$X$4</xm:f>
          </x14:formula1>
          <xm:sqref>AX5:AX104</xm:sqref>
        </x14:dataValidation>
        <x14:dataValidation type="list" allowBlank="1" showInputMessage="1" showErrorMessage="1" xr:uid="{FE601075-4DE3-FF43-B3CC-66C72B435529}">
          <x14:formula1>
            <xm:f>Validations!$Y$3:$Y$5</xm:f>
          </x14:formula1>
          <xm:sqref>BE5:BE104</xm:sqref>
        </x14:dataValidation>
        <x14:dataValidation type="list" allowBlank="1" showInputMessage="1" showErrorMessage="1" xr:uid="{68690072-EA5B-3643-A9EA-AA4E2315C025}">
          <x14:formula1>
            <xm:f>Validations!$H$3:$H$4</xm:f>
          </x14:formula1>
          <xm:sqref>J5</xm:sqref>
        </x14:dataValidation>
        <x14:dataValidation type="list" allowBlank="1" showInputMessage="1" showErrorMessage="1" xr:uid="{CFD563FC-EDA3-2848-9DE2-4CDDE94FF959}">
          <x14:formula1>
            <xm:f>Validations!$F$3:$F$5</xm:f>
          </x14:formula1>
          <xm:sqref>H6:H104</xm:sqref>
        </x14:dataValidation>
        <x14:dataValidation type="list" showInputMessage="1" showErrorMessage="1" xr:uid="{CCF0A5B9-16A2-F745-A436-0FF8BFB33562}">
          <x14:formula1>
            <xm:f>Validations!$G$3:$G$6</xm:f>
          </x14:formula1>
          <xm:sqref>I6:I104</xm:sqref>
        </x14:dataValidation>
        <x14:dataValidation type="list" allowBlank="1" showInputMessage="1" showErrorMessage="1" xr:uid="{A648120F-459F-C243-9954-CE56423C5126}">
          <x14:formula1>
            <xm:f>Validations!$H$3:$H$5</xm:f>
          </x14:formula1>
          <xm:sqref>W6:W104</xm:sqref>
        </x14:dataValidation>
        <x14:dataValidation type="list" allowBlank="1" showInputMessage="1" showErrorMessage="1" xr:uid="{DF090BB4-13C3-DC40-A419-17DA38E46388}">
          <x14:formula1>
            <xm:f>Validations!$I$3:$I$5</xm:f>
          </x14:formula1>
          <xm:sqref>Y6:Y104</xm:sqref>
        </x14:dataValidation>
        <x14:dataValidation type="list" allowBlank="1" showInputMessage="1" showErrorMessage="1" xr:uid="{98393D9C-B644-FE4A-827D-A28B3B9610BD}">
          <x14:formula1>
            <xm:f>Validations!$K$3:$K$11</xm:f>
          </x14:formula1>
          <xm:sqref>N5</xm:sqref>
        </x14:dataValidation>
        <x14:dataValidation type="list" allowBlank="1" showInputMessage="1" showErrorMessage="1" xr:uid="{3E28F93E-C91F-6849-89F8-6E36CC12702B}">
          <x14:formula1>
            <xm:f>Validations!$K$3:$K$6</xm:f>
          </x14:formula1>
          <xm:sqref>N101:N104</xm:sqref>
        </x14:dataValidation>
        <x14:dataValidation type="list" allowBlank="1" showInputMessage="1" showErrorMessage="1" xr:uid="{3556365A-1AE2-6941-87E1-91CFF020ECA0}">
          <x14:formula1>
            <xm:f>Validations!$K$3:$K$5</xm:f>
          </x14:formula1>
          <xm:sqref>N6:N100</xm:sqref>
        </x14:dataValidation>
        <x14:dataValidation type="list" allowBlank="1" showInputMessage="1" showErrorMessage="1" xr:uid="{989D3D71-8D33-3A43-8BCB-7D2B9124637C}">
          <x14:formula1>
            <xm:f>Validations!$M$3:$M$6</xm:f>
          </x14:formula1>
          <xm:sqref>V6:V100</xm:sqref>
        </x14:dataValidation>
        <x14:dataValidation type="list" allowBlank="1" showInputMessage="1" showErrorMessage="1" xr:uid="{7C671E5B-AA2D-CA4F-B873-B45362C53D60}">
          <x14:formula1>
            <xm:f>Validations!$C$3:$C$5</xm:f>
          </x14:formula1>
          <xm:sqref>F6:F100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817847-1A4D-D64B-AE16-560F4D63B18B}">
  <sheetPr codeName="Sheet2"/>
  <dimension ref="A2:M102"/>
  <sheetViews>
    <sheetView workbookViewId="0">
      <selection activeCell="C5" sqref="C5"/>
    </sheetView>
  </sheetViews>
  <sheetFormatPr baseColWidth="10" defaultRowHeight="16" x14ac:dyDescent="0.2"/>
  <cols>
    <col min="1" max="1" width="10.83203125" style="1"/>
    <col min="2" max="2" width="17.33203125" style="1" bestFit="1" customWidth="1"/>
    <col min="3" max="3" width="17.33203125" style="1" customWidth="1"/>
    <col min="4" max="4" width="24.1640625" style="1" bestFit="1" customWidth="1"/>
    <col min="5" max="5" width="18.6640625" style="1" bestFit="1" customWidth="1"/>
    <col min="6" max="6" width="18.6640625" style="1" customWidth="1"/>
    <col min="7" max="8" width="19.5" style="1" bestFit="1" customWidth="1"/>
    <col min="9" max="9" width="18" style="1" bestFit="1" customWidth="1"/>
    <col min="10" max="10" width="13" style="1" bestFit="1" customWidth="1"/>
    <col min="11" max="11" width="23.5" style="1" bestFit="1" customWidth="1"/>
    <col min="12" max="12" width="19.33203125" style="1" bestFit="1" customWidth="1"/>
    <col min="13" max="13" width="22" style="1" bestFit="1" customWidth="1"/>
    <col min="14" max="14" width="19.5" style="1" bestFit="1" customWidth="1"/>
    <col min="15" max="15" width="28" style="1" bestFit="1" customWidth="1"/>
    <col min="16" max="16" width="13.83203125" style="1" bestFit="1" customWidth="1"/>
    <col min="17" max="17" width="14.6640625" style="1" bestFit="1" customWidth="1"/>
    <col min="18" max="18" width="19.83203125" style="1" bestFit="1" customWidth="1"/>
    <col min="19" max="19" width="19.5" style="1" bestFit="1" customWidth="1"/>
    <col min="20" max="20" width="19.5" style="1" customWidth="1"/>
    <col min="21" max="21" width="13" style="1" bestFit="1" customWidth="1"/>
    <col min="22" max="22" width="15.6640625" style="1" bestFit="1" customWidth="1"/>
    <col min="23" max="23" width="14" style="1" bestFit="1" customWidth="1"/>
    <col min="24" max="24" width="14.5" style="1" bestFit="1" customWidth="1"/>
    <col min="25" max="16384" width="10.83203125" style="1"/>
  </cols>
  <sheetData>
    <row r="2" spans="1:13" s="3" customFormat="1" x14ac:dyDescent="0.2">
      <c r="A2" s="3" t="s">
        <v>1</v>
      </c>
      <c r="B2" s="3" t="s">
        <v>0</v>
      </c>
      <c r="C2" s="3" t="s">
        <v>160</v>
      </c>
      <c r="D2" s="3" t="s">
        <v>145</v>
      </c>
      <c r="E2" s="3" t="s">
        <v>110</v>
      </c>
      <c r="F2" s="3" t="s">
        <v>117</v>
      </c>
      <c r="G2" s="3" t="s">
        <v>113</v>
      </c>
      <c r="H2" s="3" t="s">
        <v>2</v>
      </c>
      <c r="I2" s="3" t="s">
        <v>107</v>
      </c>
      <c r="J2" s="3" t="s">
        <v>152</v>
      </c>
      <c r="K2" s="3" t="s">
        <v>148</v>
      </c>
      <c r="L2" s="3" t="s">
        <v>127</v>
      </c>
      <c r="M2" s="3" t="s">
        <v>155</v>
      </c>
    </row>
    <row r="3" spans="1:13" x14ac:dyDescent="0.2">
      <c r="B3" s="1" t="s">
        <v>7</v>
      </c>
      <c r="C3" s="1" t="s">
        <v>161</v>
      </c>
      <c r="D3" s="1" t="s">
        <v>146</v>
      </c>
      <c r="E3" s="1" t="s">
        <v>111</v>
      </c>
      <c r="F3" s="1" t="s">
        <v>118</v>
      </c>
      <c r="G3" s="1" t="s">
        <v>114</v>
      </c>
      <c r="H3" s="1" t="s">
        <v>137</v>
      </c>
      <c r="I3" s="1" t="s">
        <v>108</v>
      </c>
      <c r="J3" s="1" t="s">
        <v>153</v>
      </c>
      <c r="K3" s="1" t="s">
        <v>143</v>
      </c>
      <c r="L3" s="1" t="s">
        <v>143</v>
      </c>
      <c r="M3" s="1" t="s">
        <v>143</v>
      </c>
    </row>
    <row r="4" spans="1:13" x14ac:dyDescent="0.2">
      <c r="B4" s="1" t="s">
        <v>8</v>
      </c>
      <c r="C4" s="1" t="s">
        <v>162</v>
      </c>
      <c r="D4" s="1" t="s">
        <v>147</v>
      </c>
      <c r="E4" s="1" t="s">
        <v>112</v>
      </c>
      <c r="F4" s="1" t="s">
        <v>119</v>
      </c>
      <c r="G4" s="1" t="s">
        <v>115</v>
      </c>
      <c r="I4" s="1" t="s">
        <v>109</v>
      </c>
      <c r="J4" s="1" t="s">
        <v>154</v>
      </c>
      <c r="K4" s="1" t="s">
        <v>150</v>
      </c>
      <c r="L4" s="1" t="s">
        <v>138</v>
      </c>
      <c r="M4" s="1" t="s">
        <v>150</v>
      </c>
    </row>
    <row r="5" spans="1:13" x14ac:dyDescent="0.2">
      <c r="B5" s="1" t="s">
        <v>9</v>
      </c>
      <c r="G5" s="1" t="s">
        <v>116</v>
      </c>
      <c r="K5" s="1" t="s">
        <v>151</v>
      </c>
      <c r="M5" s="1" t="s">
        <v>151</v>
      </c>
    </row>
    <row r="6" spans="1:13" x14ac:dyDescent="0.2">
      <c r="B6" s="1" t="s">
        <v>10</v>
      </c>
    </row>
    <row r="7" spans="1:13" x14ac:dyDescent="0.2">
      <c r="B7" s="1" t="s">
        <v>11</v>
      </c>
    </row>
    <row r="8" spans="1:13" x14ac:dyDescent="0.2">
      <c r="B8" s="1" t="s">
        <v>12</v>
      </c>
    </row>
    <row r="9" spans="1:13" x14ac:dyDescent="0.2">
      <c r="B9" s="1" t="s">
        <v>13</v>
      </c>
    </row>
    <row r="10" spans="1:13" x14ac:dyDescent="0.2">
      <c r="B10" s="1" t="s">
        <v>14</v>
      </c>
    </row>
    <row r="11" spans="1:13" x14ac:dyDescent="0.2">
      <c r="B11" s="1" t="s">
        <v>15</v>
      </c>
    </row>
    <row r="12" spans="1:13" x14ac:dyDescent="0.2">
      <c r="B12" s="1" t="s">
        <v>16</v>
      </c>
    </row>
    <row r="13" spans="1:13" x14ac:dyDescent="0.2">
      <c r="B13" s="1" t="s">
        <v>17</v>
      </c>
    </row>
    <row r="14" spans="1:13" x14ac:dyDescent="0.2">
      <c r="B14" s="1" t="s">
        <v>18</v>
      </c>
    </row>
    <row r="15" spans="1:13" x14ac:dyDescent="0.2">
      <c r="B15" s="1" t="s">
        <v>19</v>
      </c>
    </row>
    <row r="16" spans="1:13" x14ac:dyDescent="0.2">
      <c r="B16" s="1" t="s">
        <v>20</v>
      </c>
    </row>
    <row r="17" spans="2:2" x14ac:dyDescent="0.2">
      <c r="B17" s="1" t="s">
        <v>21</v>
      </c>
    </row>
    <row r="18" spans="2:2" x14ac:dyDescent="0.2">
      <c r="B18" s="1" t="s">
        <v>22</v>
      </c>
    </row>
    <row r="19" spans="2:2" x14ac:dyDescent="0.2">
      <c r="B19" s="1" t="s">
        <v>23</v>
      </c>
    </row>
    <row r="20" spans="2:2" x14ac:dyDescent="0.2">
      <c r="B20" s="1" t="s">
        <v>24</v>
      </c>
    </row>
    <row r="21" spans="2:2" x14ac:dyDescent="0.2">
      <c r="B21" s="1" t="s">
        <v>25</v>
      </c>
    </row>
    <row r="22" spans="2:2" x14ac:dyDescent="0.2">
      <c r="B22" s="1" t="s">
        <v>26</v>
      </c>
    </row>
    <row r="23" spans="2:2" x14ac:dyDescent="0.2">
      <c r="B23" s="1" t="s">
        <v>27</v>
      </c>
    </row>
    <row r="24" spans="2:2" x14ac:dyDescent="0.2">
      <c r="B24" s="1" t="s">
        <v>28</v>
      </c>
    </row>
    <row r="25" spans="2:2" x14ac:dyDescent="0.2">
      <c r="B25" s="1" t="s">
        <v>29</v>
      </c>
    </row>
    <row r="26" spans="2:2" x14ac:dyDescent="0.2">
      <c r="B26" s="1" t="s">
        <v>30</v>
      </c>
    </row>
    <row r="27" spans="2:2" x14ac:dyDescent="0.2">
      <c r="B27" s="1" t="s">
        <v>31</v>
      </c>
    </row>
    <row r="28" spans="2:2" x14ac:dyDescent="0.2">
      <c r="B28" s="1" t="s">
        <v>32</v>
      </c>
    </row>
    <row r="29" spans="2:2" x14ac:dyDescent="0.2">
      <c r="B29" s="1" t="s">
        <v>33</v>
      </c>
    </row>
    <row r="30" spans="2:2" x14ac:dyDescent="0.2">
      <c r="B30" s="1" t="s">
        <v>34</v>
      </c>
    </row>
    <row r="31" spans="2:2" x14ac:dyDescent="0.2">
      <c r="B31" s="1" t="s">
        <v>35</v>
      </c>
    </row>
    <row r="32" spans="2:2" x14ac:dyDescent="0.2">
      <c r="B32" s="1" t="s">
        <v>36</v>
      </c>
    </row>
    <row r="33" spans="2:2" x14ac:dyDescent="0.2">
      <c r="B33" s="1" t="s">
        <v>37</v>
      </c>
    </row>
    <row r="34" spans="2:2" x14ac:dyDescent="0.2">
      <c r="B34" s="1" t="s">
        <v>38</v>
      </c>
    </row>
    <row r="35" spans="2:2" x14ac:dyDescent="0.2">
      <c r="B35" s="1" t="s">
        <v>39</v>
      </c>
    </row>
    <row r="36" spans="2:2" x14ac:dyDescent="0.2">
      <c r="B36" s="1" t="s">
        <v>40</v>
      </c>
    </row>
    <row r="37" spans="2:2" x14ac:dyDescent="0.2">
      <c r="B37" s="1" t="s">
        <v>41</v>
      </c>
    </row>
    <row r="38" spans="2:2" x14ac:dyDescent="0.2">
      <c r="B38" s="1" t="s">
        <v>42</v>
      </c>
    </row>
    <row r="39" spans="2:2" x14ac:dyDescent="0.2">
      <c r="B39" s="1" t="s">
        <v>43</v>
      </c>
    </row>
    <row r="40" spans="2:2" x14ac:dyDescent="0.2">
      <c r="B40" s="1" t="s">
        <v>44</v>
      </c>
    </row>
    <row r="41" spans="2:2" x14ac:dyDescent="0.2">
      <c r="B41" s="1" t="s">
        <v>45</v>
      </c>
    </row>
    <row r="42" spans="2:2" x14ac:dyDescent="0.2">
      <c r="B42" s="1" t="s">
        <v>46</v>
      </c>
    </row>
    <row r="43" spans="2:2" x14ac:dyDescent="0.2">
      <c r="B43" s="1" t="s">
        <v>47</v>
      </c>
    </row>
    <row r="44" spans="2:2" x14ac:dyDescent="0.2">
      <c r="B44" s="1" t="s">
        <v>48</v>
      </c>
    </row>
    <row r="45" spans="2:2" x14ac:dyDescent="0.2">
      <c r="B45" s="1" t="s">
        <v>49</v>
      </c>
    </row>
    <row r="46" spans="2:2" x14ac:dyDescent="0.2">
      <c r="B46" s="1" t="s">
        <v>50</v>
      </c>
    </row>
    <row r="47" spans="2:2" x14ac:dyDescent="0.2">
      <c r="B47" s="1" t="s">
        <v>51</v>
      </c>
    </row>
    <row r="48" spans="2:2" x14ac:dyDescent="0.2">
      <c r="B48" s="1" t="s">
        <v>52</v>
      </c>
    </row>
    <row r="49" spans="2:2" x14ac:dyDescent="0.2">
      <c r="B49" s="1" t="s">
        <v>53</v>
      </c>
    </row>
    <row r="50" spans="2:2" x14ac:dyDescent="0.2">
      <c r="B50" s="1" t="s">
        <v>54</v>
      </c>
    </row>
    <row r="51" spans="2:2" x14ac:dyDescent="0.2">
      <c r="B51" s="1" t="s">
        <v>55</v>
      </c>
    </row>
    <row r="52" spans="2:2" x14ac:dyDescent="0.2">
      <c r="B52" s="1" t="s">
        <v>56</v>
      </c>
    </row>
    <row r="53" spans="2:2" x14ac:dyDescent="0.2">
      <c r="B53" s="1" t="s">
        <v>57</v>
      </c>
    </row>
    <row r="54" spans="2:2" x14ac:dyDescent="0.2">
      <c r="B54" s="1" t="s">
        <v>58</v>
      </c>
    </row>
    <row r="55" spans="2:2" x14ac:dyDescent="0.2">
      <c r="B55" s="1" t="s">
        <v>59</v>
      </c>
    </row>
    <row r="56" spans="2:2" x14ac:dyDescent="0.2">
      <c r="B56" s="1" t="s">
        <v>60</v>
      </c>
    </row>
    <row r="57" spans="2:2" x14ac:dyDescent="0.2">
      <c r="B57" s="1" t="s">
        <v>61</v>
      </c>
    </row>
    <row r="58" spans="2:2" x14ac:dyDescent="0.2">
      <c r="B58" s="1" t="s">
        <v>62</v>
      </c>
    </row>
    <row r="59" spans="2:2" x14ac:dyDescent="0.2">
      <c r="B59" s="1" t="s">
        <v>63</v>
      </c>
    </row>
    <row r="60" spans="2:2" x14ac:dyDescent="0.2">
      <c r="B60" s="1" t="s">
        <v>64</v>
      </c>
    </row>
    <row r="61" spans="2:2" x14ac:dyDescent="0.2">
      <c r="B61" s="1" t="s">
        <v>65</v>
      </c>
    </row>
    <row r="62" spans="2:2" x14ac:dyDescent="0.2">
      <c r="B62" s="1" t="s">
        <v>66</v>
      </c>
    </row>
    <row r="63" spans="2:2" x14ac:dyDescent="0.2">
      <c r="B63" s="1" t="s">
        <v>67</v>
      </c>
    </row>
    <row r="64" spans="2:2" x14ac:dyDescent="0.2">
      <c r="B64" s="1" t="s">
        <v>68</v>
      </c>
    </row>
    <row r="65" spans="2:2" x14ac:dyDescent="0.2">
      <c r="B65" s="1" t="s">
        <v>69</v>
      </c>
    </row>
    <row r="66" spans="2:2" x14ac:dyDescent="0.2">
      <c r="B66" s="1" t="s">
        <v>70</v>
      </c>
    </row>
    <row r="67" spans="2:2" x14ac:dyDescent="0.2">
      <c r="B67" s="1" t="s">
        <v>71</v>
      </c>
    </row>
    <row r="68" spans="2:2" x14ac:dyDescent="0.2">
      <c r="B68" s="1" t="s">
        <v>72</v>
      </c>
    </row>
    <row r="69" spans="2:2" x14ac:dyDescent="0.2">
      <c r="B69" s="1" t="s">
        <v>73</v>
      </c>
    </row>
    <row r="70" spans="2:2" x14ac:dyDescent="0.2">
      <c r="B70" s="1" t="s">
        <v>74</v>
      </c>
    </row>
    <row r="71" spans="2:2" x14ac:dyDescent="0.2">
      <c r="B71" s="1" t="s">
        <v>75</v>
      </c>
    </row>
    <row r="72" spans="2:2" x14ac:dyDescent="0.2">
      <c r="B72" s="1" t="s">
        <v>76</v>
      </c>
    </row>
    <row r="73" spans="2:2" x14ac:dyDescent="0.2">
      <c r="B73" s="1" t="s">
        <v>77</v>
      </c>
    </row>
    <row r="74" spans="2:2" x14ac:dyDescent="0.2">
      <c r="B74" s="1" t="s">
        <v>78</v>
      </c>
    </row>
    <row r="75" spans="2:2" x14ac:dyDescent="0.2">
      <c r="B75" s="1" t="s">
        <v>79</v>
      </c>
    </row>
    <row r="76" spans="2:2" x14ac:dyDescent="0.2">
      <c r="B76" s="1" t="s">
        <v>80</v>
      </c>
    </row>
    <row r="77" spans="2:2" x14ac:dyDescent="0.2">
      <c r="B77" s="1" t="s">
        <v>81</v>
      </c>
    </row>
    <row r="78" spans="2:2" x14ac:dyDescent="0.2">
      <c r="B78" s="1" t="s">
        <v>82</v>
      </c>
    </row>
    <row r="79" spans="2:2" x14ac:dyDescent="0.2">
      <c r="B79" s="1" t="s">
        <v>83</v>
      </c>
    </row>
    <row r="80" spans="2:2" x14ac:dyDescent="0.2">
      <c r="B80" s="1" t="s">
        <v>84</v>
      </c>
    </row>
    <row r="81" spans="2:2" x14ac:dyDescent="0.2">
      <c r="B81" s="1" t="s">
        <v>85</v>
      </c>
    </row>
    <row r="82" spans="2:2" x14ac:dyDescent="0.2">
      <c r="B82" s="1" t="s">
        <v>86</v>
      </c>
    </row>
    <row r="83" spans="2:2" x14ac:dyDescent="0.2">
      <c r="B83" s="1" t="s">
        <v>87</v>
      </c>
    </row>
    <row r="84" spans="2:2" x14ac:dyDescent="0.2">
      <c r="B84" s="1" t="s">
        <v>88</v>
      </c>
    </row>
    <row r="85" spans="2:2" x14ac:dyDescent="0.2">
      <c r="B85" s="1" t="s">
        <v>89</v>
      </c>
    </row>
    <row r="86" spans="2:2" x14ac:dyDescent="0.2">
      <c r="B86" s="1" t="s">
        <v>90</v>
      </c>
    </row>
    <row r="87" spans="2:2" x14ac:dyDescent="0.2">
      <c r="B87" s="1" t="s">
        <v>91</v>
      </c>
    </row>
    <row r="88" spans="2:2" x14ac:dyDescent="0.2">
      <c r="B88" s="1" t="s">
        <v>92</v>
      </c>
    </row>
    <row r="89" spans="2:2" x14ac:dyDescent="0.2">
      <c r="B89" s="1" t="s">
        <v>93</v>
      </c>
    </row>
    <row r="90" spans="2:2" x14ac:dyDescent="0.2">
      <c r="B90" s="1" t="s">
        <v>94</v>
      </c>
    </row>
    <row r="91" spans="2:2" x14ac:dyDescent="0.2">
      <c r="B91" s="1" t="s">
        <v>95</v>
      </c>
    </row>
    <row r="92" spans="2:2" x14ac:dyDescent="0.2">
      <c r="B92" s="1" t="s">
        <v>96</v>
      </c>
    </row>
    <row r="93" spans="2:2" x14ac:dyDescent="0.2">
      <c r="B93" s="1" t="s">
        <v>97</v>
      </c>
    </row>
    <row r="94" spans="2:2" x14ac:dyDescent="0.2">
      <c r="B94" s="1" t="s">
        <v>98</v>
      </c>
    </row>
    <row r="95" spans="2:2" x14ac:dyDescent="0.2">
      <c r="B95" s="1" t="s">
        <v>99</v>
      </c>
    </row>
    <row r="96" spans="2:2" x14ac:dyDescent="0.2">
      <c r="B96" s="1" t="s">
        <v>100</v>
      </c>
    </row>
    <row r="97" spans="2:2" x14ac:dyDescent="0.2">
      <c r="B97" s="1" t="s">
        <v>101</v>
      </c>
    </row>
    <row r="98" spans="2:2" x14ac:dyDescent="0.2">
      <c r="B98" s="1" t="s">
        <v>102</v>
      </c>
    </row>
    <row r="99" spans="2:2" x14ac:dyDescent="0.2">
      <c r="B99" s="1" t="s">
        <v>103</v>
      </c>
    </row>
    <row r="100" spans="2:2" x14ac:dyDescent="0.2">
      <c r="B100" s="1" t="s">
        <v>104</v>
      </c>
    </row>
    <row r="101" spans="2:2" x14ac:dyDescent="0.2">
      <c r="B101" s="1" t="s">
        <v>105</v>
      </c>
    </row>
    <row r="102" spans="2:2" x14ac:dyDescent="0.2">
      <c r="B102" s="1" t="s">
        <v>106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271B62-DB7E-8C45-84B8-BCDA1CCEE68C}">
  <sheetPr codeName="Sheet3"/>
  <dimension ref="A1:BE10"/>
  <sheetViews>
    <sheetView topLeftCell="O1" zoomScale="110" zoomScaleNormal="110" workbookViewId="0">
      <selection activeCell="U12" sqref="U12"/>
    </sheetView>
  </sheetViews>
  <sheetFormatPr baseColWidth="10" defaultRowHeight="16" x14ac:dyDescent="0.2"/>
  <cols>
    <col min="3" max="3" width="8.5" customWidth="1"/>
    <col min="7" max="7" width="18.5" bestFit="1" customWidth="1"/>
    <col min="8" max="8" width="13.83203125" bestFit="1" customWidth="1"/>
    <col min="9" max="9" width="11.83203125" bestFit="1" customWidth="1"/>
    <col min="10" max="11" width="13.6640625" bestFit="1" customWidth="1"/>
    <col min="12" max="12" width="22.1640625" bestFit="1" customWidth="1"/>
    <col min="13" max="13" width="18.33203125" bestFit="1" customWidth="1"/>
    <col min="14" max="14" width="16" bestFit="1" customWidth="1"/>
    <col min="15" max="15" width="26" bestFit="1" customWidth="1"/>
    <col min="16" max="16" width="17.5" bestFit="1" customWidth="1"/>
    <col min="17" max="17" width="24.83203125" bestFit="1" customWidth="1"/>
    <col min="18" max="18" width="19.6640625" bestFit="1" customWidth="1"/>
    <col min="19" max="19" width="24.1640625" bestFit="1" customWidth="1"/>
    <col min="20" max="20" width="19" bestFit="1" customWidth="1"/>
    <col min="21" max="21" width="23.1640625" bestFit="1" customWidth="1"/>
    <col min="22" max="22" width="16.83203125" bestFit="1" customWidth="1"/>
    <col min="23" max="23" width="19.5" bestFit="1" customWidth="1"/>
    <col min="24" max="24" width="17.33203125" bestFit="1" customWidth="1"/>
    <col min="25" max="25" width="18" bestFit="1" customWidth="1"/>
    <col min="27" max="27" width="13.5" bestFit="1" customWidth="1"/>
    <col min="28" max="29" width="28.5" bestFit="1" customWidth="1"/>
    <col min="31" max="32" width="24.1640625" bestFit="1" customWidth="1"/>
  </cols>
  <sheetData>
    <row r="1" spans="1:57" s="19" customFormat="1" x14ac:dyDescent="0.2">
      <c r="A1" s="17"/>
      <c r="B1" t="s">
        <v>156</v>
      </c>
    </row>
    <row r="2" spans="1:57" x14ac:dyDescent="0.2">
      <c r="A2" s="16"/>
      <c r="B2" t="s">
        <v>157</v>
      </c>
    </row>
    <row r="3" spans="1:57" x14ac:dyDescent="0.2">
      <c r="A3" s="18" t="str">
        <f ca="1">IF($D3="", "", INDIRECT("$D6"))</f>
        <v/>
      </c>
      <c r="B3" t="s">
        <v>158</v>
      </c>
    </row>
    <row r="4" spans="1:57" s="15" customFormat="1" x14ac:dyDescent="0.2">
      <c r="A4" s="21" t="s">
        <v>6</v>
      </c>
      <c r="B4" s="21"/>
      <c r="C4" s="21"/>
      <c r="D4" s="21"/>
      <c r="E4" s="21"/>
      <c r="F4" s="21"/>
      <c r="G4" s="21"/>
      <c r="H4" s="21"/>
      <c r="I4" s="21"/>
      <c r="J4" s="21" t="s">
        <v>131</v>
      </c>
      <c r="K4" s="21"/>
      <c r="L4" s="21"/>
      <c r="M4" s="21"/>
      <c r="N4" s="21"/>
      <c r="O4" s="21" t="s">
        <v>132</v>
      </c>
      <c r="P4" s="21"/>
      <c r="Q4" s="21"/>
      <c r="R4" s="21"/>
      <c r="S4" s="7" t="s">
        <v>133</v>
      </c>
      <c r="T4" s="7"/>
      <c r="U4" s="7"/>
      <c r="V4" s="7"/>
      <c r="W4" s="21" t="s">
        <v>134</v>
      </c>
      <c r="X4" s="21"/>
      <c r="Y4" s="21"/>
      <c r="Z4" s="21"/>
      <c r="AA4" s="21"/>
      <c r="AB4" s="21" t="s">
        <v>135</v>
      </c>
      <c r="AC4" s="21"/>
      <c r="AD4" s="21"/>
      <c r="AE4" s="21" t="s">
        <v>136</v>
      </c>
      <c r="AF4" s="21"/>
      <c r="AG4" s="7"/>
      <c r="AH4" s="7"/>
      <c r="AI4" s="7"/>
      <c r="AJ4" s="7"/>
      <c r="AK4" s="7"/>
      <c r="AL4" s="7"/>
      <c r="AM4" s="7"/>
      <c r="AN4" s="7"/>
      <c r="AP4" s="7"/>
      <c r="AQ4" s="7"/>
      <c r="AR4" s="7"/>
      <c r="AS4" s="7"/>
      <c r="AT4" s="7"/>
      <c r="AU4" s="7"/>
      <c r="AV4" s="7"/>
      <c r="AW4" s="7"/>
      <c r="AX4" s="7"/>
      <c r="AY4" s="7"/>
      <c r="AZ4" s="7"/>
      <c r="BA4" s="7"/>
      <c r="BB4" s="7"/>
      <c r="BC4" s="7"/>
      <c r="BD4" s="7"/>
      <c r="BE4" s="7"/>
    </row>
    <row r="5" spans="1:57" s="5" customFormat="1" x14ac:dyDescent="0.2">
      <c r="A5" s="5" t="s">
        <v>1</v>
      </c>
      <c r="B5" s="5" t="s">
        <v>141</v>
      </c>
      <c r="C5" s="5" t="s">
        <v>142</v>
      </c>
      <c r="D5" s="11" t="s">
        <v>0</v>
      </c>
      <c r="E5" s="11" t="s">
        <v>140</v>
      </c>
      <c r="F5" s="11" t="s">
        <v>160</v>
      </c>
      <c r="G5" s="11" t="s">
        <v>110</v>
      </c>
      <c r="H5" s="11" t="s">
        <v>117</v>
      </c>
      <c r="I5" s="11" t="s">
        <v>113</v>
      </c>
      <c r="J5" s="5" t="s">
        <v>120</v>
      </c>
      <c r="K5" s="5" t="s">
        <v>121</v>
      </c>
      <c r="L5" s="5" t="s">
        <v>149</v>
      </c>
      <c r="M5" s="5" t="s">
        <v>139</v>
      </c>
      <c r="N5" s="5" t="s">
        <v>122</v>
      </c>
      <c r="O5" s="5" t="s">
        <v>123</v>
      </c>
      <c r="P5" s="5" t="s">
        <v>124</v>
      </c>
      <c r="Q5" s="5" t="s">
        <v>125</v>
      </c>
      <c r="R5" s="5" t="s">
        <v>126</v>
      </c>
      <c r="S5" s="5" t="s">
        <v>166</v>
      </c>
      <c r="T5" s="5" t="s">
        <v>164</v>
      </c>
      <c r="U5" s="5" t="s">
        <v>165</v>
      </c>
      <c r="V5" s="5" t="s">
        <v>155</v>
      </c>
      <c r="W5" s="5" t="s">
        <v>2</v>
      </c>
      <c r="X5" s="5" t="s">
        <v>3</v>
      </c>
      <c r="Y5" s="5" t="s">
        <v>107</v>
      </c>
      <c r="Z5" s="5" t="s">
        <v>4</v>
      </c>
      <c r="AA5" s="5" t="s">
        <v>5</v>
      </c>
      <c r="AB5" s="5" t="s">
        <v>144</v>
      </c>
      <c r="AC5" s="5" t="s">
        <v>128</v>
      </c>
      <c r="AD5" s="5" t="s">
        <v>152</v>
      </c>
      <c r="AE5" s="5" t="s">
        <v>129</v>
      </c>
      <c r="AF5" s="5" t="s">
        <v>130</v>
      </c>
    </row>
    <row r="6" spans="1:57" x14ac:dyDescent="0.2">
      <c r="A6" s="18"/>
      <c r="B6" s="18"/>
      <c r="C6" s="18"/>
      <c r="D6" s="18"/>
      <c r="E6" s="18"/>
      <c r="F6" s="18"/>
      <c r="G6" s="16" t="s">
        <v>111</v>
      </c>
      <c r="H6" s="18"/>
      <c r="I6" s="18"/>
      <c r="S6" s="17"/>
      <c r="T6" s="17"/>
      <c r="U6" s="17"/>
      <c r="V6" s="20"/>
    </row>
    <row r="7" spans="1:57" x14ac:dyDescent="0.2">
      <c r="A7" s="18"/>
      <c r="B7" s="18"/>
      <c r="C7" s="18"/>
      <c r="D7" s="18"/>
      <c r="E7" s="18"/>
      <c r="F7" s="18"/>
      <c r="G7" s="18"/>
      <c r="H7" s="18"/>
      <c r="I7" s="18"/>
      <c r="S7" s="18"/>
      <c r="T7" s="18"/>
      <c r="U7" s="18"/>
      <c r="V7" s="16" t="s">
        <v>150</v>
      </c>
      <c r="W7" s="17"/>
      <c r="X7" s="17"/>
      <c r="Y7" s="17"/>
      <c r="Z7" s="17"/>
      <c r="AA7" s="17"/>
      <c r="AB7" s="17"/>
      <c r="AC7" s="17"/>
      <c r="AD7" s="17"/>
      <c r="AE7" s="17"/>
      <c r="AF7" s="17"/>
    </row>
    <row r="8" spans="1:57" x14ac:dyDescent="0.2">
      <c r="A8" s="18"/>
      <c r="B8" s="18"/>
      <c r="C8" s="18"/>
      <c r="D8" s="18"/>
      <c r="E8" s="18"/>
      <c r="F8" s="18"/>
      <c r="G8" s="16" t="s">
        <v>112</v>
      </c>
      <c r="H8" s="18"/>
      <c r="I8" s="18"/>
      <c r="J8" s="17"/>
      <c r="K8" s="17"/>
      <c r="L8" s="17"/>
      <c r="M8" s="17"/>
      <c r="N8" s="17"/>
    </row>
    <row r="9" spans="1:57" x14ac:dyDescent="0.2">
      <c r="A9" s="18"/>
      <c r="B9" s="18"/>
      <c r="C9" s="18"/>
      <c r="D9" s="18"/>
      <c r="E9" s="18"/>
      <c r="F9" s="18"/>
      <c r="G9" s="18"/>
      <c r="H9" s="18"/>
      <c r="I9" s="18"/>
      <c r="J9" s="18"/>
      <c r="K9" s="18"/>
      <c r="L9" s="18"/>
      <c r="M9" s="18"/>
      <c r="N9" s="16" t="s">
        <v>143</v>
      </c>
      <c r="O9" s="17"/>
      <c r="P9" s="17"/>
      <c r="Q9" s="17"/>
      <c r="R9" s="17"/>
    </row>
    <row r="10" spans="1:57" x14ac:dyDescent="0.2">
      <c r="A10" s="18"/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6" t="s">
        <v>150</v>
      </c>
      <c r="O10" s="16"/>
      <c r="P10" s="16"/>
      <c r="Q10" s="16"/>
      <c r="R10" s="16"/>
      <c r="S10" s="16"/>
      <c r="T10" s="16"/>
      <c r="U10" s="16"/>
      <c r="V10" s="16" t="s">
        <v>150</v>
      </c>
      <c r="W10" s="17"/>
      <c r="X10" s="17"/>
      <c r="Y10" s="17"/>
      <c r="Z10" s="17"/>
      <c r="AA10" s="17"/>
      <c r="AB10" s="17"/>
      <c r="AC10" s="17"/>
      <c r="AD10" s="17"/>
      <c r="AE10" s="17"/>
      <c r="AF10" s="17"/>
    </row>
  </sheetData>
  <mergeCells count="6">
    <mergeCell ref="AE4:AF4"/>
    <mergeCell ref="A4:I4"/>
    <mergeCell ref="J4:N4"/>
    <mergeCell ref="O4:R4"/>
    <mergeCell ref="W4:AA4"/>
    <mergeCell ref="AB4:AD4"/>
  </mergeCells>
  <dataValidations count="1">
    <dataValidation allowBlank="1" showInputMessage="1" sqref="AC1:AD1 AC5:AD5" xr:uid="{AF121749-899D-D247-8C2A-A737FF0EA963}"/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Main Database</vt:lpstr>
      <vt:lpstr>Validations</vt:lpstr>
      <vt:lpstr>Macro Logic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Lim, Jamie/Sloan Kettering Institute</dc:creator>
  <cp:lastModifiedBy>Microsoft Office User</cp:lastModifiedBy>
  <dcterms:created xsi:type="dcterms:W3CDTF">2019-09-12T16:06:04Z</dcterms:created>
  <dcterms:modified xsi:type="dcterms:W3CDTF">2020-07-09T17:26:02Z</dcterms:modified>
</cp:coreProperties>
</file>