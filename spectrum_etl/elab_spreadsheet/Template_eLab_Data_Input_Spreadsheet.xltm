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sktop/Jamie/MSKCC/SPECTRUM/"/>
    </mc:Choice>
  </mc:AlternateContent>
  <xr:revisionPtr revIDLastSave="0" documentId="8_{C4D6C7CF-4B83-6D4C-8918-3CB1071C94A8}" xr6:coauthVersionLast="40" xr6:coauthVersionMax="40" xr10:uidLastSave="{00000000-0000-0000-0000-000000000000}"/>
  <bookViews>
    <workbookView xWindow="38580" yWindow="1200" windowWidth="28040" windowHeight="15940" xr2:uid="{265C2A98-33D2-6240-8FD3-8659365E2BC2}"/>
  </bookViews>
  <sheets>
    <sheet name="Main Database" sheetId="1" r:id="rId1"/>
    <sheet name="Validations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104" i="1" l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J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J104" i="1" l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H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R4" i="2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<sst xmlns="http://schemas.openxmlformats.org/spreadsheetml/2006/main" count="270" uniqueCount="232">
  <si>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</si>
  <si>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</si>
  <si>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</si>
  <si>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</si>
  <si>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</si>
  <si>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</si>
  <si>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</si>
  <si>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</si>
  <si>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</si>
  <si>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</si>
  <si>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</si>
  <si>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</si>
  <si>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</si>
  <si>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</si>
  <si>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</si>
  <si>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</si>
  <si>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</si>
  <si>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</si>
  <si>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</si>
  <si>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</si>
  <si>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</si>
  <si>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</si>
  <si>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</si>
  <si>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</si>
  <si>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</si>
  <si>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</si>
  <si>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</si>
  <si>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Date of Submission</t>
  </si>
  <si>
    <t># of Cells Captured</t>
  </si>
  <si>
    <t>IGO ID</t>
  </si>
  <si>
    <t>REX Sample ID</t>
  </si>
  <si>
    <t>IGO Submission ID</t>
  </si>
  <si>
    <t>Sample Status</t>
  </si>
  <si>
    <t>iLab Submission Form</t>
  </si>
  <si>
    <t>REX Submission Form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</si>
  <si>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</si>
  <si>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</si>
  <si>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</si>
  <si>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</si>
  <si>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</si>
  <si>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</si>
  <si>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</si>
  <si>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</si>
  <si>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</si>
  <si>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</si>
  <si>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</si>
  <si>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</si>
  <si>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</si>
  <si>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</si>
  <si>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</si>
  <si>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</si>
  <si>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Date of submission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</si>
  <si>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</si>
  <si>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</si>
  <si>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</si>
  <si>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</si>
  <si>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</si>
  <si>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</si>
  <si>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</si>
  <si>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</si>
  <si>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</si>
  <si>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</si>
  <si>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Sequencing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</si>
  <si>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</si>
  <si>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</si>
  <si>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</si>
  <si>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</si>
  <si>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</si>
  <si>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</si>
  <si>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</si>
  <si>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</si>
  <si>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</si>
  <si>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</si>
  <si>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</si>
  <si>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</si>
  <si>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</si>
  <si>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</si>
  <si>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</si>
  <si>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</si>
  <si>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</si>
  <si>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</si>
  <si>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</si>
  <si>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</si>
  <si>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</si>
  <si>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</si>
  <si>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</si>
  <si>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</si>
  <si>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</si>
  <si>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</si>
  <si>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</si>
  <si>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</si>
  <si>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</si>
  <si>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</si>
  <si>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</si>
  <si>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</si>
  <si>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</si>
  <si>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</si>
  <si>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</si>
  <si>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</si>
  <si>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</si>
  <si>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</si>
  <si>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</si>
  <si>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</si>
  <si>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</si>
  <si>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</si>
  <si>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</si>
  <si>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</si>
  <si>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</si>
  <si>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</si>
  <si>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</si>
  <si>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</si>
  <si>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</si>
  <si>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</si>
  <si>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</si>
  <si>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</si>
  <si>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</si>
  <si>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</si>
  <si>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</si>
  <si>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</si>
  <si>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</si>
  <si>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</si>
  <si>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</si>
  <si>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</si>
  <si>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</si>
  <si>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</si>
  <si>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</si>
  <si>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</si>
  <si>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</si>
  <si>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</si>
  <si>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</si>
  <si>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</si>
  <si>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</si>
  <si>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</si>
  <si>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</si>
  <si>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</si>
  <si>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</si>
  <si>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</si>
  <si>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</si>
  <si>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</si>
  <si>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</si>
  <si>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</si>
  <si>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</si>
  <si>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</si>
  <si>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</si>
  <si>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</si>
  <si>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</si>
  <si>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</si>
  <si>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</si>
  <si>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</si>
  <si>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</si>
  <si>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</si>
  <si>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</si>
  <si>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</si>
  <si>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</si>
  <si>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</si>
  <si>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</si>
  <si>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</si>
  <si>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</si>
  <si>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</si>
  <si>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</si>
  <si>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</si>
  <si>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</si>
  <si>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</si>
  <si>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</si>
  <si>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</si>
  <si>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</si>
  <si>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</si>
  <si>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</si>
  <si>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</si>
  <si>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</si>
  <si>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</si>
  <si>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</si>
  <si>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</si>
  <si>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</si>
  <si>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</si>
  <si>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</si>
  <si>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</si>
  <si>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</si>
  <si>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</si>
  <si>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</si>
  <si>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</si>
  <si>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</si>
  <si>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</si>
  <si>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</si>
  <si>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</si>
  <si>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</si>
  <si>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</si>
  <si>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</si>
  <si>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</si>
  <si>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</si>
  <si>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</si>
  <si>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</si>
  <si>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</si>
  <si>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</si>
  <si>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</si>
  <si>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</si>
  <si>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</si>
  <si>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</si>
  <si>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</si>
  <si>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</si>
  <si>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</si>
  <si>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</si>
  <si>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</si>
  <si>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</si>
  <si>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</si>
  <si>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</si>
  <si>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</si>
  <si>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</si>
  <si>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</si>
  <si>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</si>
  <si>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</si>
  <si>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</si>
  <si>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</si>
  <si>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</si>
  <si>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</si>
  <si>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</si>
  <si>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</si>
  <si>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</si>
  <si>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</si>
  <si>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</si>
  <si>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</si>
  <si>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</si>
  <si>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</si>
  <si>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</si>
  <si>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</si>
  <si>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</si>
  <si>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IF</t>
  </si>
  <si>
    <t>WGS Bulk</t>
  </si>
  <si>
    <t>Sequencing Location</t>
  </si>
  <si>
    <t>IGO</t>
  </si>
  <si>
    <t>BCCRC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</si>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</sst>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D104"/>
  <sheetViews>
    <sheetView tabSelected="1" zoomScale="80" zoomScaleNormal="80" workbookViewId="0">
      <pane ySplit="4" topLeftCell="A6" activePane="bottomLeft" state="frozen"/>
      <selection activeCell="P1" sqref="P1"/>
      <selection pane="bottomLeft" activeCell="A10" sqref="A10"/>
    </sheetView>
  </sheetViews>
  <sheetFormatPr baseColWidth="10" defaultRowHeight="16" x14ac:dyDescent="0.2"/>
  <cols>
    <col min="1" max="1" width="23.5" style="2" customWidth="1"/>
    <col min="2" max="2" width="17.33203125" style="2" bestFit="1" customWidth="1"/>
    <col min="3" max="3" width="10.1640625" style="2" customWidth="1"/>
    <col min="4" max="4" width="12.83203125" style="2" bestFit="1" customWidth="1"/>
    <col min="5" max="5" width="7.83203125" style="2" bestFit="1" customWidth="1"/>
    <col min="6" max="6" width="14.6640625" style="2" bestFit="1" customWidth="1"/>
    <col min="7" max="7" width="12.6640625" style="2" bestFit="1" customWidth="1"/>
    <col min="8" max="8" width="14.33203125" style="2" bestFit="1" customWidth="1"/>
    <col min="9" max="9" width="18.1640625" style="2" bestFit="1" customWidth="1"/>
    <col min="10" max="10" width="13.6640625" style="2" bestFit="1" customWidth="1"/>
    <col min="11" max="11" width="15.33203125" style="2" bestFit="1" customWidth="1"/>
    <col min="12" max="12" width="14.1640625" style="2" bestFit="1" customWidth="1"/>
    <col min="13" max="13" width="12.83203125" style="2" bestFit="1" customWidth="1"/>
    <col min="14" max="14" width="10.5" style="2" bestFit="1" customWidth="1"/>
    <col min="15" max="15" width="11.1640625" style="2" bestFit="1" customWidth="1"/>
    <col min="16" max="16" width="10.6640625" style="2" bestFit="1" customWidth="1"/>
    <col min="17" max="17" width="22.83203125" style="2" bestFit="1" customWidth="1"/>
    <col min="18" max="18" width="21.83203125" style="2" bestFit="1" customWidth="1"/>
    <col min="19" max="19" width="16.33203125" style="2" bestFit="1" customWidth="1"/>
    <col min="20" max="20" width="11.1640625" style="2" bestFit="1" customWidth="1"/>
    <col min="21" max="21" width="21.83203125" style="2" bestFit="1" customWidth="1"/>
    <col min="22" max="22" width="13.83203125" style="2" bestFit="1" customWidth="1"/>
    <col min="23" max="23" width="14.6640625" style="2" bestFit="1" customWidth="1"/>
    <col min="24" max="24" width="18.5" style="2" bestFit="1" customWidth="1"/>
    <col min="25" max="25" width="16.5" style="2" bestFit="1" customWidth="1"/>
    <col min="26" max="26" width="19.83203125" style="2" bestFit="1" customWidth="1"/>
    <col min="27" max="27" width="19.5" style="2" bestFit="1" customWidth="1"/>
    <col min="28" max="28" width="17.1640625" style="2" bestFit="1" customWidth="1"/>
    <col min="29" max="29" width="18.83203125" style="2" customWidth="1"/>
    <col min="30" max="30" width="16.6640625" style="2" bestFit="1" customWidth="1"/>
    <col min="31" max="31" width="6.5" style="2" bestFit="1" customWidth="1"/>
    <col min="32" max="32" width="16.5" style="2" bestFit="1" customWidth="1"/>
    <col min="33" max="33" width="13.1640625" style="2" bestFit="1" customWidth="1"/>
    <col min="34" max="34" width="13" style="2" bestFit="1" customWidth="1"/>
    <col min="35" max="35" width="19.33203125" style="2" bestFit="1" customWidth="1"/>
    <col min="36" max="36" width="19.1640625" style="2" bestFit="1" customWidth="1"/>
    <col min="37" max="37" width="9.5" style="2" bestFit="1" customWidth="1"/>
    <col min="38" max="38" width="12" style="2" bestFit="1" customWidth="1"/>
    <col min="39" max="39" width="13" style="2" bestFit="1" customWidth="1"/>
    <col min="40" max="40" width="6" style="2" bestFit="1" customWidth="1"/>
    <col min="41" max="41" width="17.1640625" style="2" bestFit="1" customWidth="1"/>
    <col min="42" max="42" width="19" style="2" bestFit="1" customWidth="1"/>
    <col min="43" max="43" width="15.33203125" style="2" bestFit="1" customWidth="1"/>
    <col min="44" max="44" width="21.83203125" style="2" bestFit="1" customWidth="1"/>
    <col min="45" max="45" width="23.1640625" style="2" bestFit="1" customWidth="1"/>
    <col min="46" max="46" width="21.83203125" style="2" bestFit="1" customWidth="1"/>
    <col min="47" max="47" width="13.6640625" style="2" bestFit="1" customWidth="1"/>
    <col min="48" max="48" width="17.83203125" style="2" bestFit="1" customWidth="1"/>
    <col min="49" max="49" width="14.5" style="2" bestFit="1" customWidth="1"/>
    <col min="50" max="50" width="27" style="2" bestFit="1" customWidth="1"/>
    <col min="51" max="51" width="21.1640625" style="2" bestFit="1" customWidth="1"/>
    <col min="52" max="52" width="18.83203125" style="2" bestFit="1" customWidth="1"/>
    <col min="53" max="53" width="10.83203125" style="2"/>
    <col min="54" max="54" width="17" style="2" bestFit="1" customWidth="1"/>
    <col min="55" max="55" width="16.6640625" style="2" bestFit="1" customWidth="1"/>
    <col min="56" max="56" width="7.6640625" style="2" bestFit="1" customWidth="1"/>
    <col min="57" max="16384" width="10.83203125" style="2"/>
  </cols>
  <sheetData>
    <row r="3" spans="1:56" s="6" customFormat="1" x14ac:dyDescent="0.2">
      <c r="A3" s="8" t="s">
        <v>54</v>
      </c>
      <c r="B3" s="8"/>
      <c r="C3" s="8" t="s">
        <v>55</v>
      </c>
      <c r="D3" s="8"/>
      <c r="E3" s="8"/>
      <c r="F3" s="8"/>
      <c r="G3" s="8"/>
      <c r="H3" s="7" t="s">
        <v>56</v>
      </c>
      <c r="I3" s="7"/>
      <c r="J3" s="8" t="s">
        <v>57</v>
      </c>
      <c r="K3" s="8"/>
      <c r="L3" s="8" t="s">
        <v>58</v>
      </c>
      <c r="M3" s="8"/>
      <c r="N3" s="8"/>
      <c r="O3" s="8"/>
      <c r="P3" s="8"/>
      <c r="Q3" s="8" t="s">
        <v>59</v>
      </c>
      <c r="R3" s="8"/>
      <c r="S3" s="8"/>
      <c r="T3" s="8"/>
      <c r="U3" s="8"/>
      <c r="V3" s="6" t="s">
        <v>60</v>
      </c>
      <c r="W3" s="8" t="s">
        <v>61</v>
      </c>
      <c r="X3" s="8"/>
      <c r="Y3" s="8"/>
      <c r="Z3" s="8" t="s">
        <v>62</v>
      </c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O3" s="8" t="s">
        <v>63</v>
      </c>
      <c r="AP3" s="8"/>
      <c r="AQ3" s="8"/>
      <c r="AR3" s="8"/>
      <c r="AS3" s="8" t="s">
        <v>64</v>
      </c>
      <c r="AT3" s="8"/>
      <c r="AU3" s="8"/>
      <c r="AV3" s="8"/>
      <c r="AW3" s="8"/>
      <c r="AX3" s="8" t="s">
        <v>65</v>
      </c>
      <c r="AY3" s="8"/>
      <c r="AZ3" s="8" t="s">
        <v>66</v>
      </c>
      <c r="BA3" s="8"/>
      <c r="BB3" s="8" t="s">
        <v>67</v>
      </c>
      <c r="BC3" s="8"/>
      <c r="BD3" s="8"/>
    </row>
    <row r="4" spans="1:56" s="5" customFormat="1" x14ac:dyDescent="0.2">
      <c r="A4" s="5" t="s">
        <v>1</v>
      </c>
      <c r="B4" s="5" t="s">
        <v>0</v>
      </c>
      <c r="C4" s="5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7</v>
      </c>
      <c r="I4" s="5" t="s">
        <v>10</v>
      </c>
      <c r="J4" s="5" t="s">
        <v>8</v>
      </c>
      <c r="K4" s="5" t="s">
        <v>9</v>
      </c>
      <c r="L4" s="5" t="s">
        <v>11</v>
      </c>
      <c r="M4" s="5" t="s">
        <v>12</v>
      </c>
      <c r="N4" s="5" t="s">
        <v>13</v>
      </c>
      <c r="O4" s="5" t="s">
        <v>14</v>
      </c>
      <c r="P4" s="5" t="s">
        <v>15</v>
      </c>
      <c r="Q4" s="5" t="s">
        <v>16</v>
      </c>
      <c r="R4" s="5" t="s">
        <v>17</v>
      </c>
      <c r="S4" s="5" t="s">
        <v>18</v>
      </c>
      <c r="T4" s="5" t="s">
        <v>19</v>
      </c>
      <c r="U4" s="5" t="s">
        <v>20</v>
      </c>
      <c r="V4" s="5" t="s">
        <v>21</v>
      </c>
      <c r="W4" s="5" t="s">
        <v>22</v>
      </c>
      <c r="X4" s="5" t="s">
        <v>23</v>
      </c>
      <c r="Y4" s="5" t="s">
        <v>24</v>
      </c>
      <c r="Z4" s="5" t="s">
        <v>25</v>
      </c>
      <c r="AA4" s="5" t="s">
        <v>26</v>
      </c>
      <c r="AB4" s="5" t="s">
        <v>27</v>
      </c>
      <c r="AC4" s="5" t="s">
        <v>228</v>
      </c>
      <c r="AD4" s="5" t="s">
        <v>28</v>
      </c>
      <c r="AE4" s="5" t="s">
        <v>29</v>
      </c>
      <c r="AF4" s="5" t="s">
        <v>31</v>
      </c>
      <c r="AG4" s="5" t="s">
        <v>30</v>
      </c>
      <c r="AH4" s="5" t="s">
        <v>32</v>
      </c>
      <c r="AI4" s="5" t="s">
        <v>33</v>
      </c>
      <c r="AJ4" s="5" t="s">
        <v>34</v>
      </c>
      <c r="AK4" s="5" t="s">
        <v>35</v>
      </c>
      <c r="AL4" s="5" t="s">
        <v>36</v>
      </c>
      <c r="AM4" s="5" t="s">
        <v>37</v>
      </c>
      <c r="AN4" s="5" t="s">
        <v>38</v>
      </c>
      <c r="AO4" s="5" t="s">
        <v>39</v>
      </c>
      <c r="AP4" s="5" t="s">
        <v>40</v>
      </c>
      <c r="AQ4" s="5" t="s">
        <v>41</v>
      </c>
      <c r="AR4" s="5" t="s">
        <v>20</v>
      </c>
      <c r="AS4" s="5" t="s">
        <v>42</v>
      </c>
      <c r="AT4" s="5" t="s">
        <v>43</v>
      </c>
      <c r="AU4" s="5" t="s">
        <v>44</v>
      </c>
      <c r="AV4" s="5" t="s">
        <v>45</v>
      </c>
      <c r="AW4" s="5" t="s">
        <v>46</v>
      </c>
      <c r="AX4" s="5" t="s">
        <v>47</v>
      </c>
      <c r="AY4" s="5" t="s">
        <v>48</v>
      </c>
      <c r="AZ4" s="5" t="s">
        <v>49</v>
      </c>
      <c r="BA4" s="5" t="s">
        <v>50</v>
      </c>
      <c r="BB4" s="5" t="s">
        <v>51</v>
      </c>
      <c r="BC4" s="5" t="s">
        <v>52</v>
      </c>
      <c r="BD4" s="5" t="s">
        <v>53</v>
      </c>
    </row>
    <row r="5" spans="1:56" hidden="1" x14ac:dyDescent="0.2">
      <c r="A5" s="4" t="str">
        <f>B5</f>
        <v>SPECTRUM-OV-001</v>
      </c>
      <c r="B5" s="2" t="s">
        <v>68</v>
      </c>
      <c r="F5" s="2" t="str">
        <f>IF($A$1="", "Main", "")</f>
        <v>Main</v>
      </c>
      <c r="H5" s="2" t="str">
        <f>IF($A$1="", "No")</f>
        <v>No</v>
      </c>
      <c r="J5" s="2" t="str">
        <f>IF($A$1="", "HGSC")</f>
        <v>HGSC</v>
      </c>
      <c r="S5" s="2" t="str">
        <f>IF($A$1="", "15")</f>
        <v>15</v>
      </c>
      <c r="AC5" s="2" t="s">
        <v>229</v>
      </c>
    </row>
    <row r="6" spans="1:56" x14ac:dyDescent="0.2">
      <c r="A6" s="4">
        <f t="shared" ref="A6:A69" si="0">B6</f>
        <v>0</v>
      </c>
      <c r="F6" s="2" t="str">
        <f t="shared" ref="F6:F69" si="1">IF($A$1="", "Main", "")</f>
        <v>Main</v>
      </c>
      <c r="J6" s="2" t="str">
        <f t="shared" ref="J6:J69" si="2">IF($A$1="", "HGSC")</f>
        <v>HGSC</v>
      </c>
      <c r="S6" s="2" t="str">
        <f t="shared" ref="S6:S69" si="3">IF($A$1="", "15")</f>
        <v>15</v>
      </c>
      <c r="AC6" s="2" t="str">
        <f t="shared" ref="AC6:AC69" si="4">IF($A$1="", "IGO")</f>
        <v>IGO</v>
      </c>
    </row>
    <row r="7" spans="1:56" x14ac:dyDescent="0.2">
      <c r="A7" s="4">
        <f t="shared" si="0"/>
        <v>0</v>
      </c>
      <c r="F7" s="2" t="str">
        <f t="shared" si="1"/>
        <v>Main</v>
      </c>
      <c r="J7" s="2" t="str">
        <f t="shared" si="2"/>
        <v>HGSC</v>
      </c>
      <c r="S7" s="2" t="str">
        <f t="shared" si="3"/>
        <v>15</v>
      </c>
      <c r="AC7" s="2" t="str">
        <f t="shared" si="4"/>
        <v>IGO</v>
      </c>
    </row>
    <row r="8" spans="1:56" x14ac:dyDescent="0.2">
      <c r="A8" s="4">
        <f t="shared" si="0"/>
        <v>0</v>
      </c>
      <c r="F8" s="2" t="str">
        <f t="shared" si="1"/>
        <v>Main</v>
      </c>
      <c r="J8" s="2" t="str">
        <f t="shared" si="2"/>
        <v>HGSC</v>
      </c>
      <c r="S8" s="2" t="str">
        <f t="shared" si="3"/>
        <v>15</v>
      </c>
      <c r="AC8" s="2" t="str">
        <f t="shared" si="4"/>
        <v>IGO</v>
      </c>
    </row>
    <row r="9" spans="1:56" x14ac:dyDescent="0.2">
      <c r="A9" s="4">
        <f t="shared" si="0"/>
        <v>0</v>
      </c>
      <c r="F9" s="2" t="str">
        <f t="shared" si="1"/>
        <v>Main</v>
      </c>
      <c r="J9" s="2" t="str">
        <f t="shared" si="2"/>
        <v>HGSC</v>
      </c>
      <c r="S9" s="2" t="str">
        <f t="shared" si="3"/>
        <v>15</v>
      </c>
      <c r="AC9" s="2" t="str">
        <f t="shared" si="4"/>
        <v>IGO</v>
      </c>
    </row>
    <row r="10" spans="1:56" x14ac:dyDescent="0.2">
      <c r="A10" s="4">
        <f t="shared" si="0"/>
        <v>0</v>
      </c>
      <c r="F10" s="2" t="str">
        <f t="shared" si="1"/>
        <v>Main</v>
      </c>
      <c r="J10" s="2" t="str">
        <f t="shared" si="2"/>
        <v>HGSC</v>
      </c>
      <c r="S10" s="2" t="str">
        <f t="shared" si="3"/>
        <v>15</v>
      </c>
      <c r="AC10" s="2" t="str">
        <f t="shared" si="4"/>
        <v>IGO</v>
      </c>
    </row>
    <row r="11" spans="1:56" x14ac:dyDescent="0.2">
      <c r="A11" s="4">
        <f t="shared" si="0"/>
        <v>0</v>
      </c>
      <c r="F11" s="2" t="str">
        <f t="shared" si="1"/>
        <v>Main</v>
      </c>
      <c r="J11" s="2" t="str">
        <f t="shared" si="2"/>
        <v>HGSC</v>
      </c>
      <c r="S11" s="2" t="str">
        <f t="shared" si="3"/>
        <v>15</v>
      </c>
      <c r="AC11" s="2" t="str">
        <f t="shared" si="4"/>
        <v>IGO</v>
      </c>
    </row>
    <row r="12" spans="1:56" x14ac:dyDescent="0.2">
      <c r="A12" s="4">
        <f t="shared" si="0"/>
        <v>0</v>
      </c>
      <c r="F12" s="2" t="str">
        <f t="shared" si="1"/>
        <v>Main</v>
      </c>
      <c r="J12" s="2" t="str">
        <f t="shared" si="2"/>
        <v>HGSC</v>
      </c>
      <c r="S12" s="2" t="str">
        <f t="shared" si="3"/>
        <v>15</v>
      </c>
      <c r="AC12" s="2" t="str">
        <f t="shared" si="4"/>
        <v>IGO</v>
      </c>
    </row>
    <row r="13" spans="1:56" x14ac:dyDescent="0.2">
      <c r="A13" s="4">
        <f t="shared" si="0"/>
        <v>0</v>
      </c>
      <c r="F13" s="2" t="str">
        <f t="shared" si="1"/>
        <v>Main</v>
      </c>
      <c r="J13" s="2" t="str">
        <f t="shared" si="2"/>
        <v>HGSC</v>
      </c>
      <c r="S13" s="2" t="str">
        <f t="shared" si="3"/>
        <v>15</v>
      </c>
      <c r="AC13" s="2" t="str">
        <f t="shared" si="4"/>
        <v>IGO</v>
      </c>
    </row>
    <row r="14" spans="1:56" x14ac:dyDescent="0.2">
      <c r="A14" s="4">
        <f t="shared" si="0"/>
        <v>0</v>
      </c>
      <c r="F14" s="2" t="str">
        <f t="shared" si="1"/>
        <v>Main</v>
      </c>
      <c r="J14" s="2" t="str">
        <f t="shared" si="2"/>
        <v>HGSC</v>
      </c>
      <c r="S14" s="2" t="str">
        <f t="shared" si="3"/>
        <v>15</v>
      </c>
      <c r="AC14" s="2" t="str">
        <f t="shared" si="4"/>
        <v>IGO</v>
      </c>
    </row>
    <row r="15" spans="1:56" x14ac:dyDescent="0.2">
      <c r="A15" s="4">
        <f t="shared" si="0"/>
        <v>0</v>
      </c>
      <c r="F15" s="2" t="str">
        <f t="shared" si="1"/>
        <v>Main</v>
      </c>
      <c r="J15" s="2" t="str">
        <f t="shared" si="2"/>
        <v>HGSC</v>
      </c>
      <c r="S15" s="2" t="str">
        <f t="shared" si="3"/>
        <v>15</v>
      </c>
      <c r="AC15" s="2" t="str">
        <f t="shared" si="4"/>
        <v>IGO</v>
      </c>
    </row>
    <row r="16" spans="1:56" x14ac:dyDescent="0.2">
      <c r="A16" s="4">
        <f t="shared" si="0"/>
        <v>0</v>
      </c>
      <c r="F16" s="2" t="str">
        <f t="shared" si="1"/>
        <v>Main</v>
      </c>
      <c r="J16" s="2" t="str">
        <f t="shared" si="2"/>
        <v>HGSC</v>
      </c>
      <c r="S16" s="2" t="str">
        <f t="shared" si="3"/>
        <v>15</v>
      </c>
      <c r="AC16" s="2" t="str">
        <f t="shared" si="4"/>
        <v>IGO</v>
      </c>
    </row>
    <row r="17" spans="1:29" x14ac:dyDescent="0.2">
      <c r="A17" s="4">
        <f t="shared" si="0"/>
        <v>0</v>
      </c>
      <c r="F17" s="2" t="str">
        <f t="shared" si="1"/>
        <v>Main</v>
      </c>
      <c r="J17" s="2" t="str">
        <f t="shared" si="2"/>
        <v>HGSC</v>
      </c>
      <c r="S17" s="2" t="str">
        <f t="shared" si="3"/>
        <v>15</v>
      </c>
      <c r="AC17" s="2" t="str">
        <f t="shared" si="4"/>
        <v>IGO</v>
      </c>
    </row>
    <row r="18" spans="1:29" x14ac:dyDescent="0.2">
      <c r="A18" s="4">
        <f t="shared" si="0"/>
        <v>0</v>
      </c>
      <c r="F18" s="2" t="str">
        <f t="shared" si="1"/>
        <v>Main</v>
      </c>
      <c r="J18" s="2" t="str">
        <f t="shared" si="2"/>
        <v>HGSC</v>
      </c>
      <c r="S18" s="2" t="str">
        <f t="shared" si="3"/>
        <v>15</v>
      </c>
      <c r="AC18" s="2" t="str">
        <f t="shared" si="4"/>
        <v>IGO</v>
      </c>
    </row>
    <row r="19" spans="1:29" x14ac:dyDescent="0.2">
      <c r="A19" s="4">
        <f t="shared" si="0"/>
        <v>0</v>
      </c>
      <c r="F19" s="2" t="str">
        <f t="shared" si="1"/>
        <v>Main</v>
      </c>
      <c r="J19" s="2" t="str">
        <f t="shared" si="2"/>
        <v>HGSC</v>
      </c>
      <c r="S19" s="2" t="str">
        <f t="shared" si="3"/>
        <v>15</v>
      </c>
      <c r="AC19" s="2" t="str">
        <f t="shared" si="4"/>
        <v>IGO</v>
      </c>
    </row>
    <row r="20" spans="1:29" x14ac:dyDescent="0.2">
      <c r="A20" s="4">
        <f t="shared" si="0"/>
        <v>0</v>
      </c>
      <c r="F20" s="2" t="str">
        <f t="shared" si="1"/>
        <v>Main</v>
      </c>
      <c r="J20" s="2" t="str">
        <f t="shared" si="2"/>
        <v>HGSC</v>
      </c>
      <c r="S20" s="2" t="str">
        <f t="shared" si="3"/>
        <v>15</v>
      </c>
      <c r="AC20" s="2" t="str">
        <f t="shared" si="4"/>
        <v>IGO</v>
      </c>
    </row>
    <row r="21" spans="1:29" x14ac:dyDescent="0.2">
      <c r="A21" s="4">
        <f t="shared" si="0"/>
        <v>0</v>
      </c>
      <c r="F21" s="2" t="str">
        <f t="shared" si="1"/>
        <v>Main</v>
      </c>
      <c r="J21" s="2" t="str">
        <f t="shared" si="2"/>
        <v>HGSC</v>
      </c>
      <c r="S21" s="2" t="str">
        <f t="shared" si="3"/>
        <v>15</v>
      </c>
      <c r="AC21" s="2" t="str">
        <f t="shared" si="4"/>
        <v>IGO</v>
      </c>
    </row>
    <row r="22" spans="1:29" x14ac:dyDescent="0.2">
      <c r="A22" s="4">
        <f t="shared" si="0"/>
        <v>0</v>
      </c>
      <c r="F22" s="2" t="str">
        <f t="shared" si="1"/>
        <v>Main</v>
      </c>
      <c r="J22" s="2" t="str">
        <f t="shared" si="2"/>
        <v>HGSC</v>
      </c>
      <c r="S22" s="2" t="str">
        <f t="shared" si="3"/>
        <v>15</v>
      </c>
      <c r="AC22" s="2" t="str">
        <f t="shared" si="4"/>
        <v>IGO</v>
      </c>
    </row>
    <row r="23" spans="1:29" x14ac:dyDescent="0.2">
      <c r="A23" s="4">
        <f t="shared" si="0"/>
        <v>0</v>
      </c>
      <c r="F23" s="2" t="str">
        <f t="shared" si="1"/>
        <v>Main</v>
      </c>
      <c r="J23" s="2" t="str">
        <f t="shared" si="2"/>
        <v>HGSC</v>
      </c>
      <c r="S23" s="2" t="str">
        <f t="shared" si="3"/>
        <v>15</v>
      </c>
      <c r="AC23" s="2" t="str">
        <f t="shared" si="4"/>
        <v>IGO</v>
      </c>
    </row>
    <row r="24" spans="1:29" x14ac:dyDescent="0.2">
      <c r="A24" s="4">
        <f t="shared" si="0"/>
        <v>0</v>
      </c>
      <c r="F24" s="2" t="str">
        <f t="shared" si="1"/>
        <v>Main</v>
      </c>
      <c r="J24" s="2" t="str">
        <f t="shared" si="2"/>
        <v>HGSC</v>
      </c>
      <c r="S24" s="2" t="str">
        <f t="shared" si="3"/>
        <v>15</v>
      </c>
      <c r="AC24" s="2" t="str">
        <f t="shared" si="4"/>
        <v>IGO</v>
      </c>
    </row>
    <row r="25" spans="1:29" x14ac:dyDescent="0.2">
      <c r="A25" s="4">
        <f t="shared" si="0"/>
        <v>0</v>
      </c>
      <c r="F25" s="2" t="str">
        <f t="shared" si="1"/>
        <v>Main</v>
      </c>
      <c r="J25" s="2" t="str">
        <f t="shared" si="2"/>
        <v>HGSC</v>
      </c>
      <c r="S25" s="2" t="str">
        <f t="shared" si="3"/>
        <v>15</v>
      </c>
      <c r="AC25" s="2" t="str">
        <f t="shared" si="4"/>
        <v>IGO</v>
      </c>
    </row>
    <row r="26" spans="1:29" x14ac:dyDescent="0.2">
      <c r="A26" s="4">
        <f t="shared" si="0"/>
        <v>0</v>
      </c>
      <c r="F26" s="2" t="str">
        <f t="shared" si="1"/>
        <v>Main</v>
      </c>
      <c r="J26" s="2" t="str">
        <f t="shared" si="2"/>
        <v>HGSC</v>
      </c>
      <c r="S26" s="2" t="str">
        <f t="shared" si="3"/>
        <v>15</v>
      </c>
      <c r="AC26" s="2" t="str">
        <f t="shared" si="4"/>
        <v>IGO</v>
      </c>
    </row>
    <row r="27" spans="1:29" x14ac:dyDescent="0.2">
      <c r="A27" s="4">
        <f t="shared" si="0"/>
        <v>0</v>
      </c>
      <c r="F27" s="2" t="str">
        <f t="shared" si="1"/>
        <v>Main</v>
      </c>
      <c r="J27" s="2" t="str">
        <f t="shared" si="2"/>
        <v>HGSC</v>
      </c>
      <c r="S27" s="2" t="str">
        <f t="shared" si="3"/>
        <v>15</v>
      </c>
      <c r="AC27" s="2" t="str">
        <f t="shared" si="4"/>
        <v>IGO</v>
      </c>
    </row>
    <row r="28" spans="1:29" x14ac:dyDescent="0.2">
      <c r="A28" s="4">
        <f t="shared" si="0"/>
        <v>0</v>
      </c>
      <c r="F28" s="2" t="str">
        <f t="shared" si="1"/>
        <v>Main</v>
      </c>
      <c r="J28" s="2" t="str">
        <f t="shared" si="2"/>
        <v>HGSC</v>
      </c>
      <c r="S28" s="2" t="str">
        <f t="shared" si="3"/>
        <v>15</v>
      </c>
      <c r="AC28" s="2" t="str">
        <f t="shared" si="4"/>
        <v>IGO</v>
      </c>
    </row>
    <row r="29" spans="1:29" x14ac:dyDescent="0.2">
      <c r="A29" s="4">
        <f t="shared" si="0"/>
        <v>0</v>
      </c>
      <c r="F29" s="2" t="str">
        <f t="shared" si="1"/>
        <v>Main</v>
      </c>
      <c r="J29" s="2" t="str">
        <f t="shared" si="2"/>
        <v>HGSC</v>
      </c>
      <c r="S29" s="2" t="str">
        <f t="shared" si="3"/>
        <v>15</v>
      </c>
      <c r="AC29" s="2" t="str">
        <f t="shared" si="4"/>
        <v>IGO</v>
      </c>
    </row>
    <row r="30" spans="1:29" x14ac:dyDescent="0.2">
      <c r="A30" s="4">
        <f t="shared" si="0"/>
        <v>0</v>
      </c>
      <c r="F30" s="2" t="str">
        <f t="shared" si="1"/>
        <v>Main</v>
      </c>
      <c r="J30" s="2" t="str">
        <f t="shared" si="2"/>
        <v>HGSC</v>
      </c>
      <c r="S30" s="2" t="str">
        <f t="shared" si="3"/>
        <v>15</v>
      </c>
      <c r="AC30" s="2" t="str">
        <f t="shared" si="4"/>
        <v>IGO</v>
      </c>
    </row>
    <row r="31" spans="1:29" x14ac:dyDescent="0.2">
      <c r="A31" s="4">
        <f t="shared" si="0"/>
        <v>0</v>
      </c>
      <c r="F31" s="2" t="str">
        <f t="shared" si="1"/>
        <v>Main</v>
      </c>
      <c r="J31" s="2" t="str">
        <f t="shared" si="2"/>
        <v>HGSC</v>
      </c>
      <c r="S31" s="2" t="str">
        <f t="shared" si="3"/>
        <v>15</v>
      </c>
      <c r="AC31" s="2" t="str">
        <f t="shared" si="4"/>
        <v>IGO</v>
      </c>
    </row>
    <row r="32" spans="1:29" x14ac:dyDescent="0.2">
      <c r="A32" s="4">
        <f t="shared" si="0"/>
        <v>0</v>
      </c>
      <c r="F32" s="2" t="str">
        <f t="shared" si="1"/>
        <v>Main</v>
      </c>
      <c r="J32" s="2" t="str">
        <f t="shared" si="2"/>
        <v>HGSC</v>
      </c>
      <c r="S32" s="2" t="str">
        <f t="shared" si="3"/>
        <v>15</v>
      </c>
      <c r="AC32" s="2" t="str">
        <f t="shared" si="4"/>
        <v>IGO</v>
      </c>
    </row>
    <row r="33" spans="1:29" x14ac:dyDescent="0.2">
      <c r="A33" s="4">
        <f t="shared" si="0"/>
        <v>0</v>
      </c>
      <c r="F33" s="2" t="str">
        <f t="shared" si="1"/>
        <v>Main</v>
      </c>
      <c r="J33" s="2" t="str">
        <f t="shared" si="2"/>
        <v>HGSC</v>
      </c>
      <c r="S33" s="2" t="str">
        <f t="shared" si="3"/>
        <v>15</v>
      </c>
      <c r="AC33" s="2" t="str">
        <f t="shared" si="4"/>
        <v>IGO</v>
      </c>
    </row>
    <row r="34" spans="1:29" x14ac:dyDescent="0.2">
      <c r="A34" s="4">
        <f t="shared" si="0"/>
        <v>0</v>
      </c>
      <c r="F34" s="2" t="str">
        <f t="shared" si="1"/>
        <v>Main</v>
      </c>
      <c r="J34" s="2" t="str">
        <f t="shared" si="2"/>
        <v>HGSC</v>
      </c>
      <c r="S34" s="2" t="str">
        <f t="shared" si="3"/>
        <v>15</v>
      </c>
      <c r="AC34" s="2" t="str">
        <f t="shared" si="4"/>
        <v>IGO</v>
      </c>
    </row>
    <row r="35" spans="1:29" x14ac:dyDescent="0.2">
      <c r="A35" s="4">
        <f t="shared" si="0"/>
        <v>0</v>
      </c>
      <c r="F35" s="2" t="str">
        <f t="shared" si="1"/>
        <v>Main</v>
      </c>
      <c r="J35" s="2" t="str">
        <f t="shared" si="2"/>
        <v>HGSC</v>
      </c>
      <c r="S35" s="2" t="str">
        <f t="shared" si="3"/>
        <v>15</v>
      </c>
      <c r="AC35" s="2" t="str">
        <f t="shared" si="4"/>
        <v>IGO</v>
      </c>
    </row>
    <row r="36" spans="1:29" x14ac:dyDescent="0.2">
      <c r="A36" s="4">
        <f t="shared" si="0"/>
        <v>0</v>
      </c>
      <c r="F36" s="2" t="str">
        <f t="shared" si="1"/>
        <v>Main</v>
      </c>
      <c r="J36" s="2" t="str">
        <f t="shared" si="2"/>
        <v>HGSC</v>
      </c>
      <c r="S36" s="2" t="str">
        <f t="shared" si="3"/>
        <v>15</v>
      </c>
      <c r="AC36" s="2" t="str">
        <f t="shared" si="4"/>
        <v>IGO</v>
      </c>
    </row>
    <row r="37" spans="1:29" x14ac:dyDescent="0.2">
      <c r="A37" s="4">
        <f t="shared" si="0"/>
        <v>0</v>
      </c>
      <c r="F37" s="2" t="str">
        <f t="shared" si="1"/>
        <v>Main</v>
      </c>
      <c r="J37" s="2" t="str">
        <f t="shared" si="2"/>
        <v>HGSC</v>
      </c>
      <c r="S37" s="2" t="str">
        <f t="shared" si="3"/>
        <v>15</v>
      </c>
      <c r="AC37" s="2" t="str">
        <f t="shared" si="4"/>
        <v>IGO</v>
      </c>
    </row>
    <row r="38" spans="1:29" x14ac:dyDescent="0.2">
      <c r="A38" s="4">
        <f t="shared" si="0"/>
        <v>0</v>
      </c>
      <c r="F38" s="2" t="str">
        <f t="shared" si="1"/>
        <v>Main</v>
      </c>
      <c r="J38" s="2" t="str">
        <f t="shared" si="2"/>
        <v>HGSC</v>
      </c>
      <c r="S38" s="2" t="str">
        <f t="shared" si="3"/>
        <v>15</v>
      </c>
      <c r="AC38" s="2" t="str">
        <f t="shared" si="4"/>
        <v>IGO</v>
      </c>
    </row>
    <row r="39" spans="1:29" x14ac:dyDescent="0.2">
      <c r="A39" s="4">
        <f t="shared" si="0"/>
        <v>0</v>
      </c>
      <c r="F39" s="2" t="str">
        <f t="shared" si="1"/>
        <v>Main</v>
      </c>
      <c r="J39" s="2" t="str">
        <f t="shared" si="2"/>
        <v>HGSC</v>
      </c>
      <c r="S39" s="2" t="str">
        <f t="shared" si="3"/>
        <v>15</v>
      </c>
      <c r="AC39" s="2" t="str">
        <f t="shared" si="4"/>
        <v>IGO</v>
      </c>
    </row>
    <row r="40" spans="1:29" x14ac:dyDescent="0.2">
      <c r="A40" s="4">
        <f t="shared" si="0"/>
        <v>0</v>
      </c>
      <c r="F40" s="2" t="str">
        <f t="shared" si="1"/>
        <v>Main</v>
      </c>
      <c r="J40" s="2" t="str">
        <f t="shared" si="2"/>
        <v>HGSC</v>
      </c>
      <c r="S40" s="2" t="str">
        <f t="shared" si="3"/>
        <v>15</v>
      </c>
      <c r="AC40" s="2" t="str">
        <f t="shared" si="4"/>
        <v>IGO</v>
      </c>
    </row>
    <row r="41" spans="1:29" x14ac:dyDescent="0.2">
      <c r="A41" s="4">
        <f t="shared" si="0"/>
        <v>0</v>
      </c>
      <c r="F41" s="2" t="str">
        <f t="shared" si="1"/>
        <v>Main</v>
      </c>
      <c r="J41" s="2" t="str">
        <f t="shared" si="2"/>
        <v>HGSC</v>
      </c>
      <c r="S41" s="2" t="str">
        <f t="shared" si="3"/>
        <v>15</v>
      </c>
      <c r="AC41" s="2" t="str">
        <f t="shared" si="4"/>
        <v>IGO</v>
      </c>
    </row>
    <row r="42" spans="1:29" x14ac:dyDescent="0.2">
      <c r="A42" s="4">
        <f t="shared" si="0"/>
        <v>0</v>
      </c>
      <c r="F42" s="2" t="str">
        <f t="shared" si="1"/>
        <v>Main</v>
      </c>
      <c r="J42" s="2" t="str">
        <f t="shared" si="2"/>
        <v>HGSC</v>
      </c>
      <c r="S42" s="2" t="str">
        <f t="shared" si="3"/>
        <v>15</v>
      </c>
      <c r="AC42" s="2" t="str">
        <f t="shared" si="4"/>
        <v>IGO</v>
      </c>
    </row>
    <row r="43" spans="1:29" x14ac:dyDescent="0.2">
      <c r="A43" s="4">
        <f t="shared" si="0"/>
        <v>0</v>
      </c>
      <c r="F43" s="2" t="str">
        <f t="shared" si="1"/>
        <v>Main</v>
      </c>
      <c r="J43" s="2" t="str">
        <f t="shared" si="2"/>
        <v>HGSC</v>
      </c>
      <c r="S43" s="2" t="str">
        <f t="shared" si="3"/>
        <v>15</v>
      </c>
      <c r="AC43" s="2" t="str">
        <f t="shared" si="4"/>
        <v>IGO</v>
      </c>
    </row>
    <row r="44" spans="1:29" x14ac:dyDescent="0.2">
      <c r="A44" s="4">
        <f t="shared" si="0"/>
        <v>0</v>
      </c>
      <c r="F44" s="2" t="str">
        <f t="shared" si="1"/>
        <v>Main</v>
      </c>
      <c r="J44" s="2" t="str">
        <f t="shared" si="2"/>
        <v>HGSC</v>
      </c>
      <c r="S44" s="2" t="str">
        <f t="shared" si="3"/>
        <v>15</v>
      </c>
      <c r="AC44" s="2" t="str">
        <f t="shared" si="4"/>
        <v>IGO</v>
      </c>
    </row>
    <row r="45" spans="1:29" x14ac:dyDescent="0.2">
      <c r="A45" s="4">
        <f t="shared" si="0"/>
        <v>0</v>
      </c>
      <c r="F45" s="2" t="str">
        <f t="shared" si="1"/>
        <v>Main</v>
      </c>
      <c r="J45" s="2" t="str">
        <f t="shared" si="2"/>
        <v>HGSC</v>
      </c>
      <c r="S45" s="2" t="str">
        <f t="shared" si="3"/>
        <v>15</v>
      </c>
      <c r="AC45" s="2" t="str">
        <f t="shared" si="4"/>
        <v>IGO</v>
      </c>
    </row>
    <row r="46" spans="1:29" x14ac:dyDescent="0.2">
      <c r="A46" s="4">
        <f t="shared" si="0"/>
        <v>0</v>
      </c>
      <c r="F46" s="2" t="str">
        <f t="shared" si="1"/>
        <v>Main</v>
      </c>
      <c r="J46" s="2" t="str">
        <f t="shared" si="2"/>
        <v>HGSC</v>
      </c>
      <c r="S46" s="2" t="str">
        <f t="shared" si="3"/>
        <v>15</v>
      </c>
      <c r="AC46" s="2" t="str">
        <f t="shared" si="4"/>
        <v>IGO</v>
      </c>
    </row>
    <row r="47" spans="1:29" x14ac:dyDescent="0.2">
      <c r="A47" s="4">
        <f t="shared" si="0"/>
        <v>0</v>
      </c>
      <c r="F47" s="2" t="str">
        <f t="shared" si="1"/>
        <v>Main</v>
      </c>
      <c r="J47" s="2" t="str">
        <f t="shared" si="2"/>
        <v>HGSC</v>
      </c>
      <c r="S47" s="2" t="str">
        <f t="shared" si="3"/>
        <v>15</v>
      </c>
      <c r="AC47" s="2" t="str">
        <f t="shared" si="4"/>
        <v>IGO</v>
      </c>
    </row>
    <row r="48" spans="1:29" x14ac:dyDescent="0.2">
      <c r="A48" s="4">
        <f t="shared" si="0"/>
        <v>0</v>
      </c>
      <c r="F48" s="2" t="str">
        <f t="shared" si="1"/>
        <v>Main</v>
      </c>
      <c r="J48" s="2" t="str">
        <f t="shared" si="2"/>
        <v>HGSC</v>
      </c>
      <c r="S48" s="2" t="str">
        <f t="shared" si="3"/>
        <v>15</v>
      </c>
      <c r="AC48" s="2" t="str">
        <f t="shared" si="4"/>
        <v>IGO</v>
      </c>
    </row>
    <row r="49" spans="1:29" x14ac:dyDescent="0.2">
      <c r="A49" s="4">
        <f t="shared" si="0"/>
        <v>0</v>
      </c>
      <c r="F49" s="2" t="str">
        <f t="shared" si="1"/>
        <v>Main</v>
      </c>
      <c r="J49" s="2" t="str">
        <f t="shared" si="2"/>
        <v>HGSC</v>
      </c>
      <c r="S49" s="2" t="str">
        <f t="shared" si="3"/>
        <v>15</v>
      </c>
      <c r="AC49" s="2" t="str">
        <f t="shared" si="4"/>
        <v>IGO</v>
      </c>
    </row>
    <row r="50" spans="1:29" x14ac:dyDescent="0.2">
      <c r="A50" s="4">
        <f t="shared" si="0"/>
        <v>0</v>
      </c>
      <c r="F50" s="2" t="str">
        <f t="shared" si="1"/>
        <v>Main</v>
      </c>
      <c r="J50" s="2" t="str">
        <f t="shared" si="2"/>
        <v>HGSC</v>
      </c>
      <c r="S50" s="2" t="str">
        <f t="shared" si="3"/>
        <v>15</v>
      </c>
      <c r="AC50" s="2" t="str">
        <f t="shared" si="4"/>
        <v>IGO</v>
      </c>
    </row>
    <row r="51" spans="1:29" x14ac:dyDescent="0.2">
      <c r="A51" s="4">
        <f t="shared" si="0"/>
        <v>0</v>
      </c>
      <c r="F51" s="2" t="str">
        <f t="shared" si="1"/>
        <v>Main</v>
      </c>
      <c r="J51" s="2" t="str">
        <f t="shared" si="2"/>
        <v>HGSC</v>
      </c>
      <c r="S51" s="2" t="str">
        <f t="shared" si="3"/>
        <v>15</v>
      </c>
      <c r="AC51" s="2" t="str">
        <f t="shared" si="4"/>
        <v>IGO</v>
      </c>
    </row>
    <row r="52" spans="1:29" x14ac:dyDescent="0.2">
      <c r="A52" s="4">
        <f t="shared" si="0"/>
        <v>0</v>
      </c>
      <c r="F52" s="2" t="str">
        <f t="shared" si="1"/>
        <v>Main</v>
      </c>
      <c r="J52" s="2" t="str">
        <f t="shared" si="2"/>
        <v>HGSC</v>
      </c>
      <c r="S52" s="2" t="str">
        <f t="shared" si="3"/>
        <v>15</v>
      </c>
      <c r="AC52" s="2" t="str">
        <f t="shared" si="4"/>
        <v>IGO</v>
      </c>
    </row>
    <row r="53" spans="1:29" x14ac:dyDescent="0.2">
      <c r="A53" s="4">
        <f t="shared" si="0"/>
        <v>0</v>
      </c>
      <c r="F53" s="2" t="str">
        <f t="shared" si="1"/>
        <v>Main</v>
      </c>
      <c r="J53" s="2" t="str">
        <f t="shared" si="2"/>
        <v>HGSC</v>
      </c>
      <c r="S53" s="2" t="str">
        <f t="shared" si="3"/>
        <v>15</v>
      </c>
      <c r="AC53" s="2" t="str">
        <f t="shared" si="4"/>
        <v>IGO</v>
      </c>
    </row>
    <row r="54" spans="1:29" x14ac:dyDescent="0.2">
      <c r="A54" s="4">
        <f t="shared" si="0"/>
        <v>0</v>
      </c>
      <c r="F54" s="2" t="str">
        <f t="shared" si="1"/>
        <v>Main</v>
      </c>
      <c r="J54" s="2" t="str">
        <f t="shared" si="2"/>
        <v>HGSC</v>
      </c>
      <c r="S54" s="2" t="str">
        <f t="shared" si="3"/>
        <v>15</v>
      </c>
      <c r="AC54" s="2" t="str">
        <f t="shared" si="4"/>
        <v>IGO</v>
      </c>
    </row>
    <row r="55" spans="1:29" x14ac:dyDescent="0.2">
      <c r="A55" s="4">
        <f t="shared" si="0"/>
        <v>0</v>
      </c>
      <c r="F55" s="2" t="str">
        <f t="shared" si="1"/>
        <v>Main</v>
      </c>
      <c r="J55" s="2" t="str">
        <f t="shared" si="2"/>
        <v>HGSC</v>
      </c>
      <c r="S55" s="2" t="str">
        <f t="shared" si="3"/>
        <v>15</v>
      </c>
      <c r="AC55" s="2" t="str">
        <f t="shared" si="4"/>
        <v>IGO</v>
      </c>
    </row>
    <row r="56" spans="1:29" x14ac:dyDescent="0.2">
      <c r="A56" s="4">
        <f t="shared" si="0"/>
        <v>0</v>
      </c>
      <c r="F56" s="2" t="str">
        <f t="shared" si="1"/>
        <v>Main</v>
      </c>
      <c r="J56" s="2" t="str">
        <f t="shared" si="2"/>
        <v>HGSC</v>
      </c>
      <c r="S56" s="2" t="str">
        <f t="shared" si="3"/>
        <v>15</v>
      </c>
      <c r="AC56" s="2" t="str">
        <f t="shared" si="4"/>
        <v>IGO</v>
      </c>
    </row>
    <row r="57" spans="1:29" x14ac:dyDescent="0.2">
      <c r="A57" s="4">
        <f t="shared" si="0"/>
        <v>0</v>
      </c>
      <c r="F57" s="2" t="str">
        <f t="shared" si="1"/>
        <v>Main</v>
      </c>
      <c r="J57" s="2" t="str">
        <f t="shared" si="2"/>
        <v>HGSC</v>
      </c>
      <c r="S57" s="2" t="str">
        <f t="shared" si="3"/>
        <v>15</v>
      </c>
      <c r="AC57" s="2" t="str">
        <f t="shared" si="4"/>
        <v>IGO</v>
      </c>
    </row>
    <row r="58" spans="1:29" x14ac:dyDescent="0.2">
      <c r="A58" s="4">
        <f t="shared" si="0"/>
        <v>0</v>
      </c>
      <c r="F58" s="2" t="str">
        <f t="shared" si="1"/>
        <v>Main</v>
      </c>
      <c r="J58" s="2" t="str">
        <f t="shared" si="2"/>
        <v>HGSC</v>
      </c>
      <c r="S58" s="2" t="str">
        <f t="shared" si="3"/>
        <v>15</v>
      </c>
      <c r="AC58" s="2" t="str">
        <f t="shared" si="4"/>
        <v>IGO</v>
      </c>
    </row>
    <row r="59" spans="1:29" x14ac:dyDescent="0.2">
      <c r="A59" s="4">
        <f t="shared" si="0"/>
        <v>0</v>
      </c>
      <c r="F59" s="2" t="str">
        <f t="shared" si="1"/>
        <v>Main</v>
      </c>
      <c r="J59" s="2" t="str">
        <f t="shared" si="2"/>
        <v>HGSC</v>
      </c>
      <c r="S59" s="2" t="str">
        <f t="shared" si="3"/>
        <v>15</v>
      </c>
      <c r="AC59" s="2" t="str">
        <f t="shared" si="4"/>
        <v>IGO</v>
      </c>
    </row>
    <row r="60" spans="1:29" x14ac:dyDescent="0.2">
      <c r="A60" s="4">
        <f t="shared" si="0"/>
        <v>0</v>
      </c>
      <c r="F60" s="2" t="str">
        <f t="shared" si="1"/>
        <v>Main</v>
      </c>
      <c r="J60" s="2" t="str">
        <f t="shared" si="2"/>
        <v>HGSC</v>
      </c>
      <c r="S60" s="2" t="str">
        <f t="shared" si="3"/>
        <v>15</v>
      </c>
      <c r="AC60" s="2" t="str">
        <f t="shared" si="4"/>
        <v>IGO</v>
      </c>
    </row>
    <row r="61" spans="1:29" x14ac:dyDescent="0.2">
      <c r="A61" s="4">
        <f t="shared" si="0"/>
        <v>0</v>
      </c>
      <c r="F61" s="2" t="str">
        <f t="shared" si="1"/>
        <v>Main</v>
      </c>
      <c r="J61" s="2" t="str">
        <f t="shared" si="2"/>
        <v>HGSC</v>
      </c>
      <c r="S61" s="2" t="str">
        <f t="shared" si="3"/>
        <v>15</v>
      </c>
      <c r="AC61" s="2" t="str">
        <f t="shared" si="4"/>
        <v>IGO</v>
      </c>
    </row>
    <row r="62" spans="1:29" x14ac:dyDescent="0.2">
      <c r="A62" s="4">
        <f t="shared" si="0"/>
        <v>0</v>
      </c>
      <c r="F62" s="2" t="str">
        <f t="shared" si="1"/>
        <v>Main</v>
      </c>
      <c r="J62" s="2" t="str">
        <f t="shared" si="2"/>
        <v>HGSC</v>
      </c>
      <c r="S62" s="2" t="str">
        <f t="shared" si="3"/>
        <v>15</v>
      </c>
      <c r="AC62" s="2" t="str">
        <f t="shared" si="4"/>
        <v>IGO</v>
      </c>
    </row>
    <row r="63" spans="1:29" x14ac:dyDescent="0.2">
      <c r="A63" s="4">
        <f t="shared" si="0"/>
        <v>0</v>
      </c>
      <c r="F63" s="2" t="str">
        <f t="shared" si="1"/>
        <v>Main</v>
      </c>
      <c r="J63" s="2" t="str">
        <f t="shared" si="2"/>
        <v>HGSC</v>
      </c>
      <c r="S63" s="2" t="str">
        <f t="shared" si="3"/>
        <v>15</v>
      </c>
      <c r="AC63" s="2" t="str">
        <f t="shared" si="4"/>
        <v>IGO</v>
      </c>
    </row>
    <row r="64" spans="1:29" x14ac:dyDescent="0.2">
      <c r="A64" s="4">
        <f t="shared" si="0"/>
        <v>0</v>
      </c>
      <c r="F64" s="2" t="str">
        <f t="shared" si="1"/>
        <v>Main</v>
      </c>
      <c r="J64" s="2" t="str">
        <f t="shared" si="2"/>
        <v>HGSC</v>
      </c>
      <c r="S64" s="2" t="str">
        <f t="shared" si="3"/>
        <v>15</v>
      </c>
      <c r="AC64" s="2" t="str">
        <f t="shared" si="4"/>
        <v>IGO</v>
      </c>
    </row>
    <row r="65" spans="1:29" x14ac:dyDescent="0.2">
      <c r="A65" s="4">
        <f t="shared" si="0"/>
        <v>0</v>
      </c>
      <c r="F65" s="2" t="str">
        <f t="shared" si="1"/>
        <v>Main</v>
      </c>
      <c r="J65" s="2" t="str">
        <f t="shared" si="2"/>
        <v>HGSC</v>
      </c>
      <c r="S65" s="2" t="str">
        <f t="shared" si="3"/>
        <v>15</v>
      </c>
      <c r="AC65" s="2" t="str">
        <f t="shared" si="4"/>
        <v>IGO</v>
      </c>
    </row>
    <row r="66" spans="1:29" x14ac:dyDescent="0.2">
      <c r="A66" s="4">
        <f t="shared" si="0"/>
        <v>0</v>
      </c>
      <c r="F66" s="2" t="str">
        <f t="shared" si="1"/>
        <v>Main</v>
      </c>
      <c r="J66" s="2" t="str">
        <f t="shared" si="2"/>
        <v>HGSC</v>
      </c>
      <c r="S66" s="2" t="str">
        <f t="shared" si="3"/>
        <v>15</v>
      </c>
      <c r="AC66" s="2" t="str">
        <f t="shared" si="4"/>
        <v>IGO</v>
      </c>
    </row>
    <row r="67" spans="1:29" x14ac:dyDescent="0.2">
      <c r="A67" s="4">
        <f t="shared" si="0"/>
        <v>0</v>
      </c>
      <c r="F67" s="2" t="str">
        <f t="shared" si="1"/>
        <v>Main</v>
      </c>
      <c r="J67" s="2" t="str">
        <f t="shared" si="2"/>
        <v>HGSC</v>
      </c>
      <c r="S67" s="2" t="str">
        <f t="shared" si="3"/>
        <v>15</v>
      </c>
      <c r="AC67" s="2" t="str">
        <f t="shared" si="4"/>
        <v>IGO</v>
      </c>
    </row>
    <row r="68" spans="1:29" x14ac:dyDescent="0.2">
      <c r="A68" s="4">
        <f t="shared" si="0"/>
        <v>0</v>
      </c>
      <c r="F68" s="2" t="str">
        <f t="shared" si="1"/>
        <v>Main</v>
      </c>
      <c r="J68" s="2" t="str">
        <f t="shared" si="2"/>
        <v>HGSC</v>
      </c>
      <c r="S68" s="2" t="str">
        <f t="shared" si="3"/>
        <v>15</v>
      </c>
      <c r="AC68" s="2" t="str">
        <f t="shared" si="4"/>
        <v>IGO</v>
      </c>
    </row>
    <row r="69" spans="1:29" x14ac:dyDescent="0.2">
      <c r="A69" s="4">
        <f t="shared" si="0"/>
        <v>0</v>
      </c>
      <c r="F69" s="2" t="str">
        <f t="shared" si="1"/>
        <v>Main</v>
      </c>
      <c r="J69" s="2" t="str">
        <f t="shared" si="2"/>
        <v>HGSC</v>
      </c>
      <c r="S69" s="2" t="str">
        <f t="shared" si="3"/>
        <v>15</v>
      </c>
      <c r="AC69" s="2" t="str">
        <f t="shared" si="4"/>
        <v>IGO</v>
      </c>
    </row>
    <row r="70" spans="1:29" x14ac:dyDescent="0.2">
      <c r="A70" s="4">
        <f t="shared" ref="A70:A104" si="5">B70</f>
        <v>0</v>
      </c>
      <c r="F70" s="2" t="str">
        <f t="shared" ref="F70:F104" si="6">IF($A$1="", "Main", "")</f>
        <v>Main</v>
      </c>
      <c r="J70" s="2" t="str">
        <f t="shared" ref="J70:J104" si="7">IF($A$1="", "HGSC")</f>
        <v>HGSC</v>
      </c>
      <c r="S70" s="2" t="str">
        <f t="shared" ref="S70:S104" si="8">IF($A$1="", "15")</f>
        <v>15</v>
      </c>
      <c r="AC70" s="2" t="str">
        <f t="shared" ref="AC70:AC104" si="9">IF($A$1="", "IGO")</f>
        <v>IGO</v>
      </c>
    </row>
    <row r="71" spans="1:29" x14ac:dyDescent="0.2">
      <c r="A71" s="4">
        <f t="shared" si="5"/>
        <v>0</v>
      </c>
      <c r="F71" s="2" t="str">
        <f t="shared" si="6"/>
        <v>Main</v>
      </c>
      <c r="J71" s="2" t="str">
        <f t="shared" si="7"/>
        <v>HGSC</v>
      </c>
      <c r="S71" s="2" t="str">
        <f t="shared" si="8"/>
        <v>15</v>
      </c>
      <c r="AC71" s="2" t="str">
        <f t="shared" si="9"/>
        <v>IGO</v>
      </c>
    </row>
    <row r="72" spans="1:29" x14ac:dyDescent="0.2">
      <c r="A72" s="4">
        <f t="shared" si="5"/>
        <v>0</v>
      </c>
      <c r="F72" s="2" t="str">
        <f t="shared" si="6"/>
        <v>Main</v>
      </c>
      <c r="J72" s="2" t="str">
        <f t="shared" si="7"/>
        <v>HGSC</v>
      </c>
      <c r="S72" s="2" t="str">
        <f t="shared" si="8"/>
        <v>15</v>
      </c>
      <c r="AC72" s="2" t="str">
        <f t="shared" si="9"/>
        <v>IGO</v>
      </c>
    </row>
    <row r="73" spans="1:29" x14ac:dyDescent="0.2">
      <c r="A73" s="4">
        <f t="shared" si="5"/>
        <v>0</v>
      </c>
      <c r="F73" s="2" t="str">
        <f t="shared" si="6"/>
        <v>Main</v>
      </c>
      <c r="J73" s="2" t="str">
        <f t="shared" si="7"/>
        <v>HGSC</v>
      </c>
      <c r="S73" s="2" t="str">
        <f t="shared" si="8"/>
        <v>15</v>
      </c>
      <c r="AC73" s="2" t="str">
        <f t="shared" si="9"/>
        <v>IGO</v>
      </c>
    </row>
    <row r="74" spans="1:29" x14ac:dyDescent="0.2">
      <c r="A74" s="4">
        <f t="shared" si="5"/>
        <v>0</v>
      </c>
      <c r="F74" s="2" t="str">
        <f t="shared" si="6"/>
        <v>Main</v>
      </c>
      <c r="J74" s="2" t="str">
        <f t="shared" si="7"/>
        <v>HGSC</v>
      </c>
      <c r="S74" s="2" t="str">
        <f t="shared" si="8"/>
        <v>15</v>
      </c>
      <c r="AC74" s="2" t="str">
        <f t="shared" si="9"/>
        <v>IGO</v>
      </c>
    </row>
    <row r="75" spans="1:29" x14ac:dyDescent="0.2">
      <c r="A75" s="4">
        <f t="shared" si="5"/>
        <v>0</v>
      </c>
      <c r="F75" s="2" t="str">
        <f t="shared" si="6"/>
        <v>Main</v>
      </c>
      <c r="J75" s="2" t="str">
        <f t="shared" si="7"/>
        <v>HGSC</v>
      </c>
      <c r="S75" s="2" t="str">
        <f t="shared" si="8"/>
        <v>15</v>
      </c>
      <c r="AC75" s="2" t="str">
        <f t="shared" si="9"/>
        <v>IGO</v>
      </c>
    </row>
    <row r="76" spans="1:29" x14ac:dyDescent="0.2">
      <c r="A76" s="4">
        <f t="shared" si="5"/>
        <v>0</v>
      </c>
      <c r="F76" s="2" t="str">
        <f t="shared" si="6"/>
        <v>Main</v>
      </c>
      <c r="J76" s="2" t="str">
        <f t="shared" si="7"/>
        <v>HGSC</v>
      </c>
      <c r="S76" s="2" t="str">
        <f t="shared" si="8"/>
        <v>15</v>
      </c>
      <c r="AC76" s="2" t="str">
        <f t="shared" si="9"/>
        <v>IGO</v>
      </c>
    </row>
    <row r="77" spans="1:29" x14ac:dyDescent="0.2">
      <c r="A77" s="4">
        <f t="shared" si="5"/>
        <v>0</v>
      </c>
      <c r="F77" s="2" t="str">
        <f t="shared" si="6"/>
        <v>Main</v>
      </c>
      <c r="J77" s="2" t="str">
        <f t="shared" si="7"/>
        <v>HGSC</v>
      </c>
      <c r="S77" s="2" t="str">
        <f t="shared" si="8"/>
        <v>15</v>
      </c>
      <c r="AC77" s="2" t="str">
        <f t="shared" si="9"/>
        <v>IGO</v>
      </c>
    </row>
    <row r="78" spans="1:29" x14ac:dyDescent="0.2">
      <c r="A78" s="4">
        <f t="shared" si="5"/>
        <v>0</v>
      </c>
      <c r="F78" s="2" t="str">
        <f t="shared" si="6"/>
        <v>Main</v>
      </c>
      <c r="J78" s="2" t="str">
        <f t="shared" si="7"/>
        <v>HGSC</v>
      </c>
      <c r="S78" s="2" t="str">
        <f t="shared" si="8"/>
        <v>15</v>
      </c>
      <c r="AC78" s="2" t="str">
        <f t="shared" si="9"/>
        <v>IGO</v>
      </c>
    </row>
    <row r="79" spans="1:29" x14ac:dyDescent="0.2">
      <c r="A79" s="4">
        <f t="shared" si="5"/>
        <v>0</v>
      </c>
      <c r="F79" s="2" t="str">
        <f t="shared" si="6"/>
        <v>Main</v>
      </c>
      <c r="J79" s="2" t="str">
        <f t="shared" si="7"/>
        <v>HGSC</v>
      </c>
      <c r="S79" s="2" t="str">
        <f t="shared" si="8"/>
        <v>15</v>
      </c>
      <c r="AC79" s="2" t="str">
        <f t="shared" si="9"/>
        <v>IGO</v>
      </c>
    </row>
    <row r="80" spans="1:29" x14ac:dyDescent="0.2">
      <c r="A80" s="4">
        <f t="shared" si="5"/>
        <v>0</v>
      </c>
      <c r="F80" s="2" t="str">
        <f t="shared" si="6"/>
        <v>Main</v>
      </c>
      <c r="J80" s="2" t="str">
        <f t="shared" si="7"/>
        <v>HGSC</v>
      </c>
      <c r="S80" s="2" t="str">
        <f t="shared" si="8"/>
        <v>15</v>
      </c>
      <c r="AC80" s="2" t="str">
        <f t="shared" si="9"/>
        <v>IGO</v>
      </c>
    </row>
    <row r="81" spans="1:29" x14ac:dyDescent="0.2">
      <c r="A81" s="4">
        <f t="shared" si="5"/>
        <v>0</v>
      </c>
      <c r="F81" s="2" t="str">
        <f t="shared" si="6"/>
        <v>Main</v>
      </c>
      <c r="J81" s="2" t="str">
        <f t="shared" si="7"/>
        <v>HGSC</v>
      </c>
      <c r="S81" s="2" t="str">
        <f t="shared" si="8"/>
        <v>15</v>
      </c>
      <c r="AC81" s="2" t="str">
        <f t="shared" si="9"/>
        <v>IGO</v>
      </c>
    </row>
    <row r="82" spans="1:29" x14ac:dyDescent="0.2">
      <c r="A82" s="4">
        <f t="shared" si="5"/>
        <v>0</v>
      </c>
      <c r="F82" s="2" t="str">
        <f t="shared" si="6"/>
        <v>Main</v>
      </c>
      <c r="J82" s="2" t="str">
        <f t="shared" si="7"/>
        <v>HGSC</v>
      </c>
      <c r="S82" s="2" t="str">
        <f t="shared" si="8"/>
        <v>15</v>
      </c>
      <c r="AC82" s="2" t="str">
        <f t="shared" si="9"/>
        <v>IGO</v>
      </c>
    </row>
    <row r="83" spans="1:29" x14ac:dyDescent="0.2">
      <c r="A83" s="4">
        <f t="shared" si="5"/>
        <v>0</v>
      </c>
      <c r="F83" s="2" t="str">
        <f t="shared" si="6"/>
        <v>Main</v>
      </c>
      <c r="J83" s="2" t="str">
        <f t="shared" si="7"/>
        <v>HGSC</v>
      </c>
      <c r="S83" s="2" t="str">
        <f t="shared" si="8"/>
        <v>15</v>
      </c>
      <c r="AC83" s="2" t="str">
        <f t="shared" si="9"/>
        <v>IGO</v>
      </c>
    </row>
    <row r="84" spans="1:29" x14ac:dyDescent="0.2">
      <c r="A84" s="4">
        <f t="shared" si="5"/>
        <v>0</v>
      </c>
      <c r="F84" s="2" t="str">
        <f t="shared" si="6"/>
        <v>Main</v>
      </c>
      <c r="J84" s="2" t="str">
        <f t="shared" si="7"/>
        <v>HGSC</v>
      </c>
      <c r="S84" s="2" t="str">
        <f t="shared" si="8"/>
        <v>15</v>
      </c>
      <c r="AC84" s="2" t="str">
        <f t="shared" si="9"/>
        <v>IGO</v>
      </c>
    </row>
    <row r="85" spans="1:29" x14ac:dyDescent="0.2">
      <c r="A85" s="4">
        <f t="shared" si="5"/>
        <v>0</v>
      </c>
      <c r="F85" s="2" t="str">
        <f t="shared" si="6"/>
        <v>Main</v>
      </c>
      <c r="J85" s="2" t="str">
        <f t="shared" si="7"/>
        <v>HGSC</v>
      </c>
      <c r="S85" s="2" t="str">
        <f t="shared" si="8"/>
        <v>15</v>
      </c>
      <c r="AC85" s="2" t="str">
        <f t="shared" si="9"/>
        <v>IGO</v>
      </c>
    </row>
    <row r="86" spans="1:29" x14ac:dyDescent="0.2">
      <c r="A86" s="4">
        <f t="shared" si="5"/>
        <v>0</v>
      </c>
      <c r="F86" s="2" t="str">
        <f t="shared" si="6"/>
        <v>Main</v>
      </c>
      <c r="J86" s="2" t="str">
        <f t="shared" si="7"/>
        <v>HGSC</v>
      </c>
      <c r="S86" s="2" t="str">
        <f t="shared" si="8"/>
        <v>15</v>
      </c>
      <c r="AC86" s="2" t="str">
        <f t="shared" si="9"/>
        <v>IGO</v>
      </c>
    </row>
    <row r="87" spans="1:29" x14ac:dyDescent="0.2">
      <c r="A87" s="4">
        <f t="shared" si="5"/>
        <v>0</v>
      </c>
      <c r="F87" s="2" t="str">
        <f t="shared" si="6"/>
        <v>Main</v>
      </c>
      <c r="J87" s="2" t="str">
        <f t="shared" si="7"/>
        <v>HGSC</v>
      </c>
      <c r="S87" s="2" t="str">
        <f t="shared" si="8"/>
        <v>15</v>
      </c>
      <c r="AC87" s="2" t="str">
        <f t="shared" si="9"/>
        <v>IGO</v>
      </c>
    </row>
    <row r="88" spans="1:29" x14ac:dyDescent="0.2">
      <c r="A88" s="4">
        <f t="shared" si="5"/>
        <v>0</v>
      </c>
      <c r="F88" s="2" t="str">
        <f t="shared" si="6"/>
        <v>Main</v>
      </c>
      <c r="J88" s="2" t="str">
        <f t="shared" si="7"/>
        <v>HGSC</v>
      </c>
      <c r="S88" s="2" t="str">
        <f t="shared" si="8"/>
        <v>15</v>
      </c>
      <c r="AC88" s="2" t="str">
        <f t="shared" si="9"/>
        <v>IGO</v>
      </c>
    </row>
    <row r="89" spans="1:29" x14ac:dyDescent="0.2">
      <c r="A89" s="4">
        <f t="shared" si="5"/>
        <v>0</v>
      </c>
      <c r="F89" s="2" t="str">
        <f t="shared" si="6"/>
        <v>Main</v>
      </c>
      <c r="J89" s="2" t="str">
        <f t="shared" si="7"/>
        <v>HGSC</v>
      </c>
      <c r="S89" s="2" t="str">
        <f t="shared" si="8"/>
        <v>15</v>
      </c>
      <c r="AC89" s="2" t="str">
        <f t="shared" si="9"/>
        <v>IGO</v>
      </c>
    </row>
    <row r="90" spans="1:29" x14ac:dyDescent="0.2">
      <c r="A90" s="4">
        <f t="shared" si="5"/>
        <v>0</v>
      </c>
      <c r="F90" s="2" t="str">
        <f t="shared" si="6"/>
        <v>Main</v>
      </c>
      <c r="J90" s="2" t="str">
        <f t="shared" si="7"/>
        <v>HGSC</v>
      </c>
      <c r="S90" s="2" t="str">
        <f t="shared" si="8"/>
        <v>15</v>
      </c>
      <c r="AC90" s="2" t="str">
        <f t="shared" si="9"/>
        <v>IGO</v>
      </c>
    </row>
    <row r="91" spans="1:29" x14ac:dyDescent="0.2">
      <c r="A91" s="4">
        <f t="shared" si="5"/>
        <v>0</v>
      </c>
      <c r="F91" s="2" t="str">
        <f t="shared" si="6"/>
        <v>Main</v>
      </c>
      <c r="J91" s="2" t="str">
        <f t="shared" si="7"/>
        <v>HGSC</v>
      </c>
      <c r="S91" s="2" t="str">
        <f t="shared" si="8"/>
        <v>15</v>
      </c>
      <c r="AC91" s="2" t="str">
        <f t="shared" si="9"/>
        <v>IGO</v>
      </c>
    </row>
    <row r="92" spans="1:29" x14ac:dyDescent="0.2">
      <c r="A92" s="4">
        <f t="shared" si="5"/>
        <v>0</v>
      </c>
      <c r="F92" s="2" t="str">
        <f t="shared" si="6"/>
        <v>Main</v>
      </c>
      <c r="J92" s="2" t="str">
        <f t="shared" si="7"/>
        <v>HGSC</v>
      </c>
      <c r="S92" s="2" t="str">
        <f t="shared" si="8"/>
        <v>15</v>
      </c>
      <c r="AC92" s="2" t="str">
        <f t="shared" si="9"/>
        <v>IGO</v>
      </c>
    </row>
    <row r="93" spans="1:29" x14ac:dyDescent="0.2">
      <c r="A93" s="4">
        <f t="shared" si="5"/>
        <v>0</v>
      </c>
      <c r="F93" s="2" t="str">
        <f t="shared" si="6"/>
        <v>Main</v>
      </c>
      <c r="J93" s="2" t="str">
        <f t="shared" si="7"/>
        <v>HGSC</v>
      </c>
      <c r="S93" s="2" t="str">
        <f t="shared" si="8"/>
        <v>15</v>
      </c>
      <c r="AC93" s="2" t="str">
        <f t="shared" si="9"/>
        <v>IGO</v>
      </c>
    </row>
    <row r="94" spans="1:29" x14ac:dyDescent="0.2">
      <c r="A94" s="4">
        <f t="shared" si="5"/>
        <v>0</v>
      </c>
      <c r="F94" s="2" t="str">
        <f t="shared" si="6"/>
        <v>Main</v>
      </c>
      <c r="J94" s="2" t="str">
        <f t="shared" si="7"/>
        <v>HGSC</v>
      </c>
      <c r="S94" s="2" t="str">
        <f t="shared" si="8"/>
        <v>15</v>
      </c>
      <c r="AC94" s="2" t="str">
        <f t="shared" si="9"/>
        <v>IGO</v>
      </c>
    </row>
    <row r="95" spans="1:29" x14ac:dyDescent="0.2">
      <c r="A95" s="4">
        <f t="shared" si="5"/>
        <v>0</v>
      </c>
      <c r="F95" s="2" t="str">
        <f t="shared" si="6"/>
        <v>Main</v>
      </c>
      <c r="J95" s="2" t="str">
        <f t="shared" si="7"/>
        <v>HGSC</v>
      </c>
      <c r="S95" s="2" t="str">
        <f t="shared" si="8"/>
        <v>15</v>
      </c>
      <c r="AC95" s="2" t="str">
        <f t="shared" si="9"/>
        <v>IGO</v>
      </c>
    </row>
    <row r="96" spans="1:29" x14ac:dyDescent="0.2">
      <c r="A96" s="4">
        <f t="shared" si="5"/>
        <v>0</v>
      </c>
      <c r="F96" s="2" t="str">
        <f t="shared" si="6"/>
        <v>Main</v>
      </c>
      <c r="J96" s="2" t="str">
        <f t="shared" si="7"/>
        <v>HGSC</v>
      </c>
      <c r="S96" s="2" t="str">
        <f t="shared" si="8"/>
        <v>15</v>
      </c>
      <c r="AC96" s="2" t="str">
        <f t="shared" si="9"/>
        <v>IGO</v>
      </c>
    </row>
    <row r="97" spans="1:29" x14ac:dyDescent="0.2">
      <c r="A97" s="4">
        <f t="shared" si="5"/>
        <v>0</v>
      </c>
      <c r="F97" s="2" t="str">
        <f t="shared" si="6"/>
        <v>Main</v>
      </c>
      <c r="J97" s="2" t="str">
        <f t="shared" si="7"/>
        <v>HGSC</v>
      </c>
      <c r="S97" s="2" t="str">
        <f t="shared" si="8"/>
        <v>15</v>
      </c>
      <c r="AC97" s="2" t="str">
        <f t="shared" si="9"/>
        <v>IGO</v>
      </c>
    </row>
    <row r="98" spans="1:29" x14ac:dyDescent="0.2">
      <c r="A98" s="4">
        <f t="shared" si="5"/>
        <v>0</v>
      </c>
      <c r="F98" s="2" t="str">
        <f t="shared" si="6"/>
        <v>Main</v>
      </c>
      <c r="J98" s="2" t="str">
        <f t="shared" si="7"/>
        <v>HGSC</v>
      </c>
      <c r="S98" s="2" t="str">
        <f t="shared" si="8"/>
        <v>15</v>
      </c>
      <c r="AC98" s="2" t="str">
        <f t="shared" si="9"/>
        <v>IGO</v>
      </c>
    </row>
    <row r="99" spans="1:29" x14ac:dyDescent="0.2">
      <c r="A99" s="4">
        <f t="shared" si="5"/>
        <v>0</v>
      </c>
      <c r="F99" s="2" t="str">
        <f t="shared" si="6"/>
        <v>Main</v>
      </c>
      <c r="J99" s="2" t="str">
        <f t="shared" si="7"/>
        <v>HGSC</v>
      </c>
      <c r="S99" s="2" t="str">
        <f t="shared" si="8"/>
        <v>15</v>
      </c>
      <c r="AC99" s="2" t="str">
        <f t="shared" si="9"/>
        <v>IGO</v>
      </c>
    </row>
    <row r="100" spans="1:29" x14ac:dyDescent="0.2">
      <c r="A100" s="4">
        <f t="shared" si="5"/>
        <v>0</v>
      </c>
      <c r="F100" s="2" t="str">
        <f t="shared" si="6"/>
        <v>Main</v>
      </c>
      <c r="J100" s="2" t="str">
        <f t="shared" si="7"/>
        <v>HGSC</v>
      </c>
      <c r="S100" s="2" t="str">
        <f t="shared" si="8"/>
        <v>15</v>
      </c>
      <c r="AC100" s="2" t="str">
        <f t="shared" si="9"/>
        <v>IGO</v>
      </c>
    </row>
    <row r="101" spans="1:29" x14ac:dyDescent="0.2">
      <c r="A101" s="4">
        <f t="shared" si="5"/>
        <v>0</v>
      </c>
      <c r="F101" s="2" t="str">
        <f t="shared" si="6"/>
        <v>Main</v>
      </c>
      <c r="J101" s="2" t="str">
        <f t="shared" si="7"/>
        <v>HGSC</v>
      </c>
      <c r="S101" s="2" t="str">
        <f t="shared" si="8"/>
        <v>15</v>
      </c>
      <c r="AC101" s="2" t="str">
        <f t="shared" si="9"/>
        <v>IGO</v>
      </c>
    </row>
    <row r="102" spans="1:29" x14ac:dyDescent="0.2">
      <c r="A102" s="4">
        <f t="shared" si="5"/>
        <v>0</v>
      </c>
      <c r="F102" s="2" t="str">
        <f t="shared" si="6"/>
        <v>Main</v>
      </c>
      <c r="J102" s="2" t="str">
        <f t="shared" si="7"/>
        <v>HGSC</v>
      </c>
      <c r="S102" s="2" t="str">
        <f t="shared" si="8"/>
        <v>15</v>
      </c>
      <c r="AC102" s="2" t="str">
        <f t="shared" si="9"/>
        <v>IGO</v>
      </c>
    </row>
    <row r="103" spans="1:29" x14ac:dyDescent="0.2">
      <c r="A103" s="4">
        <f t="shared" si="5"/>
        <v>0</v>
      </c>
      <c r="F103" s="2" t="str">
        <f t="shared" si="6"/>
        <v>Main</v>
      </c>
      <c r="J103" s="2" t="str">
        <f t="shared" si="7"/>
        <v>HGSC</v>
      </c>
      <c r="S103" s="2" t="str">
        <f t="shared" si="8"/>
        <v>15</v>
      </c>
      <c r="AC103" s="2" t="str">
        <f t="shared" si="9"/>
        <v>IGO</v>
      </c>
    </row>
    <row r="104" spans="1:29" x14ac:dyDescent="0.2">
      <c r="A104" s="4">
        <f t="shared" si="5"/>
        <v>0</v>
      </c>
      <c r="F104" s="2" t="str">
        <f t="shared" si="6"/>
        <v>Main</v>
      </c>
      <c r="J104" s="2" t="str">
        <f t="shared" si="7"/>
        <v>HGSC</v>
      </c>
      <c r="S104" s="2" t="str">
        <f t="shared" si="8"/>
        <v>15</v>
      </c>
      <c r="AC104" s="2" t="str">
        <f t="shared" si="9"/>
        <v>IGO</v>
      </c>
    </row>
  </sheetData>
  <dataConsolidate/>
  <mergeCells count="12">
    <mergeCell ref="BB3:BD3"/>
    <mergeCell ref="W3:Y3"/>
    <mergeCell ref="Z3:AM3"/>
    <mergeCell ref="AO3:AR3"/>
    <mergeCell ref="AS3:AW3"/>
    <mergeCell ref="AX3:AY3"/>
    <mergeCell ref="AZ3:BA3"/>
    <mergeCell ref="Q3:U3"/>
    <mergeCell ref="A3:B3"/>
    <mergeCell ref="C3:G3"/>
    <mergeCell ref="J3:K3"/>
    <mergeCell ref="L3:P3"/>
  </mergeCells>
  <dataValidations count="1">
    <dataValidation allowBlank="1" showInputMessage="1" sqref="AC1:AC4 AC105:AC1048576" xr:uid="{26D21C78-FCF6-0B44-8F81-67FEDCFDCD5D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showInputMessage="1" showErrorMessage="1" xr:uid="{907531C9-A79D-5243-A057-D1325D1453B3}">
          <x14:formula1>
            <xm:f>Validations!$B$3:$B$103</xm:f>
          </x14:formula1>
          <xm:sqref>B5:B104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D5:D104</xm:sqref>
        </x14:dataValidation>
        <x14:dataValidation type="list" showInputMessage="1" showErrorMessage="1" xr:uid="{3FAD6E9E-5AEA-A14E-BF55-B3F949511896}">
          <x14:formula1>
            <xm:f>Validations!$D$3:$D$11</xm:f>
          </x14:formula1>
          <xm:sqref>E5:E104</xm:sqref>
        </x14:dataValidation>
        <x14:dataValidation type="list" allowBlank="1" showInputMessage="1" showErrorMessage="1" xr:uid="{CA32B17F-CDD6-5B42-B04F-0F23AEAF4989}">
          <x14:formula1>
            <xm:f>Validations!$F$3:$F$22</xm:f>
          </x14:formula1>
          <xm:sqref>G5:G104</xm:sqref>
        </x14:dataValidation>
        <x14:dataValidation type="list" allowBlank="1" showInputMessage="1" showErrorMessage="1" xr:uid="{4DDBECE7-CCED-7142-9C70-21975114D230}">
          <x14:formula1>
            <xm:f>Validations!$G$3:$G$4</xm:f>
          </x14:formula1>
          <xm:sqref>H5:H104</xm:sqref>
        </x14:dataValidation>
        <x14:dataValidation type="list" allowBlank="1" showInputMessage="1" showErrorMessage="1" xr:uid="{B70FDC52-F379-F04A-B313-1441212FEE78}">
          <x14:formula1>
            <xm:f>Validations!$H$3:$H$11</xm:f>
          </x14:formula1>
          <xm:sqref>J5:J104</xm:sqref>
        </x14:dataValidation>
        <x14:dataValidation type="list" allowBlank="1" showInputMessage="1" showErrorMessage="1" xr:uid="{089CDA68-BDB1-3C4C-9C92-59CDE83942CD}">
          <x14:formula1>
            <xm:f>Validations!$I$3:$I$11</xm:f>
          </x14:formula1>
          <xm:sqref>M5:M104</xm:sqref>
        </x14:dataValidation>
        <x14:dataValidation type="list" allowBlank="1" showInputMessage="1" showErrorMessage="1" xr:uid="{B0007175-B965-F44A-8328-4CAC98C31404}">
          <x14:formula1>
            <xm:f>Validations!$J$3:$J$10</xm:f>
          </x14:formula1>
          <xm:sqref>O5:O104</xm:sqref>
        </x14:dataValidation>
        <x14:dataValidation type="list" allowBlank="1" showInputMessage="1" showErrorMessage="1" xr:uid="{F1EE9517-9E22-7B44-8A1A-51D85C6845B9}">
          <x14:formula1>
            <xm:f>Validations!$K$3:$K$5</xm:f>
          </x14:formula1>
          <xm:sqref>P5:P104</xm:sqref>
        </x14:dataValidation>
        <x14:dataValidation type="list" allowBlank="1" showInputMessage="1" showErrorMessage="1" xr:uid="{20258211-B50D-594A-96C8-BA5ECD7A72CB}">
          <x14:formula1>
            <xm:f>Validations!$M$3:$M$4</xm:f>
          </x14:formula1>
          <xm:sqref>V5:V104</xm:sqref>
        </x14:dataValidation>
        <x14:dataValidation type="list" allowBlank="1" showInputMessage="1" showErrorMessage="1" xr:uid="{845EE86D-136E-124D-A1F4-176CAD7C0171}">
          <x14:formula1>
            <xm:f>Validations!$N$3:$N$6</xm:f>
          </x14:formula1>
          <xm:sqref>W5:W104</xm:sqref>
        </x14:dataValidation>
        <x14:dataValidation type="list" allowBlank="1" showInputMessage="1" showErrorMessage="1" xr:uid="{1BEA4180-042E-E240-96F8-DB23322DBBB2}">
          <x14:formula1>
            <xm:f>Validations!$O$3:$O$5</xm:f>
          </x14:formula1>
          <xm:sqref>Z5:Z104</xm:sqref>
        </x14:dataValidation>
        <x14:dataValidation type="list" allowBlank="1" showInputMessage="1" showErrorMessage="1" xr:uid="{EB1AE819-E271-274B-9C9A-80C3D2463F12}">
          <x14:formula1>
            <xm:f>Validations!$P$3:$P$5</xm:f>
          </x14:formula1>
          <xm:sqref>AA5:AA104</xm:sqref>
        </x14:dataValidation>
        <x14:dataValidation type="list" allowBlank="1" showInputMessage="1" showErrorMessage="1" xr:uid="{C3C578A6-9D45-D84F-A871-1684DFFED5F3}">
          <x14:formula1>
            <xm:f>Validations!$Q$3:$Q$4</xm:f>
          </x14:formula1>
          <xm:sqref>AC5:AC104</xm:sqref>
        </x14:dataValidation>
        <x14:dataValidation type="list" showInputMessage="1" showErrorMessage="1" xr:uid="{5224560A-9F54-A145-9AC7-97437D92DD53}">
          <x14:formula1>
            <xm:f>Validations!$R$3:$R$4</xm:f>
          </x14:formula1>
          <xm:sqref>AH5:AH104</xm:sqref>
        </x14:dataValidation>
        <x14:dataValidation type="list" allowBlank="1" showInputMessage="1" showErrorMessage="1" xr:uid="{B8EBC637-3B67-7C4E-8848-50486764C050}">
          <x14:formula1>
            <xm:f>Validations!$L$3:$L$5</xm:f>
          </x14:formula1>
          <xm:sqref>U5:U104</xm:sqref>
        </x14:dataValidation>
        <x14:dataValidation type="list" allowBlank="1" showInputMessage="1" showErrorMessage="1" xr:uid="{B8C57CA8-B633-6C40-BF2E-5655222EF0A0}">
          <x14:formula1>
            <xm:f>Validations!$L$5:$L$7</xm:f>
          </x14:formula1>
          <xm:sqref>AR5:AR104</xm:sqref>
        </x14:dataValidation>
        <x14:dataValidation type="list" allowBlank="1" showInputMessage="1" showErrorMessage="1" xr:uid="{1FC41A1A-835E-924F-AFE2-46CBEDFDED8F}">
          <x14:formula1>
            <xm:f>Validations!$T$3:$T$4</xm:f>
          </x14:formula1>
          <xm:sqref>AU5:AU104</xm:sqref>
        </x14:dataValidation>
        <x14:dataValidation type="list" allowBlank="1" showInputMessage="1" showErrorMessage="1" xr:uid="{07CF3870-E8BC-3B4F-A010-764A96D5904D}">
          <x14:formula1>
            <xm:f>Validations!$U$3:$U$4</xm:f>
          </x14:formula1>
          <xm:sqref>AW5:AW104</xm:sqref>
        </x14:dataValidation>
        <x14:dataValidation type="list" allowBlank="1" showInputMessage="1" showErrorMessage="1" xr:uid="{D3C7ABC3-5DEE-4C40-B123-09039884D5A2}">
          <x14:formula1>
            <xm:f>Validations!$V$3:$V$5</xm:f>
          </x14:formula1>
          <xm:sqref>BD5:BD104</xm:sqref>
        </x14:dataValidation>
        <x14:dataValidation type="list" allowBlank="1" showInputMessage="1" showErrorMessage="1" xr:uid="{C60FEBA9-5496-CE4E-A3FD-9D07EBCD813F}">
          <x14:formula1>
            <xm:f>Validations!$E$3:$E$4</xm:f>
          </x14:formula1>
          <xm:sqref>F5:F104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V102"/>
  <sheetViews>
    <sheetView workbookViewId="0">
      <selection activeCell="E3" sqref="E3:E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228</v>
      </c>
      <c r="R2" s="3" t="s">
        <v>32</v>
      </c>
      <c r="S2" s="3" t="s">
        <v>35</v>
      </c>
      <c r="T2" s="3" t="s">
        <v>44</v>
      </c>
      <c r="U2" s="3" t="s">
        <v>46</v>
      </c>
      <c r="V2" s="3" t="s">
        <v>53</v>
      </c>
    </row>
    <row r="3" spans="1:22" x14ac:dyDescent="0.2">
      <c r="B3" s="1" t="s">
        <v>68</v>
      </c>
      <c r="C3" s="1" t="s">
        <v>169</v>
      </c>
      <c r="D3" s="1" t="s">
        <v>171</v>
      </c>
      <c r="E3" s="1" t="s">
        <v>180</v>
      </c>
      <c r="F3" s="1">
        <v>1</v>
      </c>
      <c r="G3" s="1" t="s">
        <v>182</v>
      </c>
      <c r="H3" s="1" t="s">
        <v>184</v>
      </c>
      <c r="I3" s="1" t="s">
        <v>193</v>
      </c>
      <c r="J3" s="1" t="s">
        <v>194</v>
      </c>
      <c r="K3" s="1" t="s">
        <v>201</v>
      </c>
      <c r="L3" s="1" t="s">
        <v>204</v>
      </c>
      <c r="M3" s="1" t="s">
        <v>207</v>
      </c>
      <c r="N3" s="1" t="s">
        <v>209</v>
      </c>
      <c r="O3" s="1" t="s">
        <v>213</v>
      </c>
      <c r="P3" s="1" t="s">
        <v>216</v>
      </c>
      <c r="Q3" s="1" t="s">
        <v>230</v>
      </c>
      <c r="R3" s="1" t="s">
        <v>221</v>
      </c>
      <c r="S3" s="1" t="s">
        <v>222</v>
      </c>
      <c r="T3" s="1" t="s">
        <v>183</v>
      </c>
      <c r="U3" s="1" t="s">
        <v>183</v>
      </c>
      <c r="V3" s="1" t="s">
        <v>219</v>
      </c>
    </row>
    <row r="4" spans="1:22" x14ac:dyDescent="0.2">
      <c r="B4" s="1" t="s">
        <v>69</v>
      </c>
      <c r="C4" s="1" t="s">
        <v>170</v>
      </c>
      <c r="D4" s="1" t="s">
        <v>172</v>
      </c>
      <c r="E4" s="1" t="s">
        <v>181</v>
      </c>
      <c r="F4" s="1">
        <v>2</v>
      </c>
      <c r="G4" s="1" t="s">
        <v>183</v>
      </c>
      <c r="H4" s="1" t="s">
        <v>190</v>
      </c>
      <c r="I4" s="1" t="s">
        <v>194</v>
      </c>
      <c r="J4" s="1" t="s">
        <v>195</v>
      </c>
      <c r="K4" s="1" t="s">
        <v>202</v>
      </c>
      <c r="L4" s="1" t="s">
        <v>206</v>
      </c>
      <c r="M4" s="1" t="s">
        <v>208</v>
      </c>
      <c r="N4" s="1" t="s">
        <v>210</v>
      </c>
      <c r="O4" s="1" t="s">
        <v>214</v>
      </c>
      <c r="P4" s="1" t="s">
        <v>217</v>
      </c>
      <c r="Q4" s="1" t="s">
        <v>229</v>
      </c>
      <c r="R4" s="1" t="str">
        <f>" "</f>
        <v xml:space="preserve"> </v>
      </c>
      <c r="S4" s="1" t="s">
        <v>223</v>
      </c>
      <c r="T4" s="1" t="s">
        <v>182</v>
      </c>
      <c r="U4" s="1" t="s">
        <v>182</v>
      </c>
      <c r="V4" s="1" t="s">
        <v>220</v>
      </c>
    </row>
    <row r="5" spans="1:22" x14ac:dyDescent="0.2">
      <c r="B5" s="1" t="s">
        <v>70</v>
      </c>
      <c r="C5" s="1" t="s">
        <v>168</v>
      </c>
      <c r="D5" s="1" t="s">
        <v>173</v>
      </c>
      <c r="F5" s="1">
        <v>3</v>
      </c>
      <c r="H5" s="1" t="s">
        <v>185</v>
      </c>
      <c r="I5" s="1" t="s">
        <v>195</v>
      </c>
      <c r="J5" s="1" t="s">
        <v>196</v>
      </c>
      <c r="K5" s="1" t="s">
        <v>203</v>
      </c>
      <c r="L5" s="1" t="s">
        <v>205</v>
      </c>
      <c r="N5" s="1" t="s">
        <v>211</v>
      </c>
      <c r="O5" s="1" t="s">
        <v>215</v>
      </c>
      <c r="P5" s="1" t="s">
        <v>218</v>
      </c>
      <c r="S5" s="1" t="s">
        <v>224</v>
      </c>
      <c r="V5" s="1" t="s">
        <v>231</v>
      </c>
    </row>
    <row r="6" spans="1:22" x14ac:dyDescent="0.2">
      <c r="B6" s="1" t="s">
        <v>71</v>
      </c>
      <c r="D6" s="1" t="s">
        <v>174</v>
      </c>
      <c r="F6" s="1">
        <v>4</v>
      </c>
      <c r="H6" s="1" t="s">
        <v>186</v>
      </c>
      <c r="I6" s="1" t="s">
        <v>196</v>
      </c>
      <c r="J6" s="1" t="s">
        <v>197</v>
      </c>
      <c r="L6" s="1" t="s">
        <v>226</v>
      </c>
      <c r="N6" s="1" t="s">
        <v>212</v>
      </c>
      <c r="S6" s="1" t="s">
        <v>225</v>
      </c>
    </row>
    <row r="7" spans="1:22" x14ac:dyDescent="0.2">
      <c r="B7" s="1" t="s">
        <v>72</v>
      </c>
      <c r="D7" s="1" t="s">
        <v>175</v>
      </c>
      <c r="F7" s="1">
        <v>5</v>
      </c>
      <c r="H7" s="1" t="s">
        <v>187</v>
      </c>
      <c r="I7" s="1" t="s">
        <v>197</v>
      </c>
      <c r="J7" s="1" t="s">
        <v>191</v>
      </c>
      <c r="L7" s="1" t="s">
        <v>227</v>
      </c>
    </row>
    <row r="8" spans="1:22" x14ac:dyDescent="0.2">
      <c r="B8" s="1" t="s">
        <v>73</v>
      </c>
      <c r="D8" s="1" t="s">
        <v>176</v>
      </c>
      <c r="F8" s="1">
        <v>6</v>
      </c>
      <c r="H8" s="1" t="s">
        <v>188</v>
      </c>
      <c r="I8" s="1" t="s">
        <v>191</v>
      </c>
      <c r="J8" s="1" t="s">
        <v>198</v>
      </c>
    </row>
    <row r="9" spans="1:22" x14ac:dyDescent="0.2">
      <c r="B9" s="1" t="s">
        <v>74</v>
      </c>
      <c r="D9" s="1" t="s">
        <v>177</v>
      </c>
      <c r="F9" s="1">
        <v>7</v>
      </c>
      <c r="H9" s="1" t="s">
        <v>189</v>
      </c>
      <c r="I9" s="1" t="s">
        <v>198</v>
      </c>
      <c r="J9" s="1" t="s">
        <v>199</v>
      </c>
    </row>
    <row r="10" spans="1:22" x14ac:dyDescent="0.2">
      <c r="B10" s="1" t="s">
        <v>75</v>
      </c>
      <c r="D10" s="1" t="s">
        <v>178</v>
      </c>
      <c r="F10" s="1">
        <v>8</v>
      </c>
      <c r="H10" s="1" t="s">
        <v>191</v>
      </c>
      <c r="I10" s="1" t="s">
        <v>199</v>
      </c>
      <c r="J10" s="1" t="s">
        <v>200</v>
      </c>
    </row>
    <row r="11" spans="1:22" x14ac:dyDescent="0.2">
      <c r="B11" s="1" t="s">
        <v>76</v>
      </c>
      <c r="D11" s="1" t="s">
        <v>179</v>
      </c>
      <c r="F11" s="1">
        <v>9</v>
      </c>
      <c r="H11" s="1" t="s">
        <v>192</v>
      </c>
      <c r="I11" s="1" t="s">
        <v>200</v>
      </c>
    </row>
    <row r="12" spans="1:22" x14ac:dyDescent="0.2">
      <c r="B12" s="1" t="s">
        <v>77</v>
      </c>
      <c r="F12" s="1">
        <v>10</v>
      </c>
    </row>
    <row r="13" spans="1:22" x14ac:dyDescent="0.2">
      <c r="B13" s="1" t="s">
        <v>78</v>
      </c>
      <c r="F13" s="1">
        <v>11</v>
      </c>
    </row>
    <row r="14" spans="1:22" x14ac:dyDescent="0.2">
      <c r="B14" s="1" t="s">
        <v>79</v>
      </c>
      <c r="F14" s="1">
        <v>12</v>
      </c>
    </row>
    <row r="15" spans="1:22" x14ac:dyDescent="0.2">
      <c r="B15" s="1" t="s">
        <v>80</v>
      </c>
      <c r="F15" s="1">
        <v>13</v>
      </c>
    </row>
    <row r="16" spans="1:22" x14ac:dyDescent="0.2">
      <c r="B16" s="1" t="s">
        <v>81</v>
      </c>
      <c r="F16" s="1">
        <v>14</v>
      </c>
    </row>
    <row r="17" spans="2:6" x14ac:dyDescent="0.2">
      <c r="B17" s="1" t="s">
        <v>82</v>
      </c>
      <c r="F17" s="1">
        <v>15</v>
      </c>
    </row>
    <row r="18" spans="2:6" x14ac:dyDescent="0.2">
      <c r="B18" s="1" t="s">
        <v>83</v>
      </c>
      <c r="F18" s="1">
        <v>16</v>
      </c>
    </row>
    <row r="19" spans="2:6" x14ac:dyDescent="0.2">
      <c r="B19" s="1" t="s">
        <v>84</v>
      </c>
      <c r="F19" s="1">
        <v>17</v>
      </c>
    </row>
    <row r="20" spans="2:6" x14ac:dyDescent="0.2">
      <c r="B20" s="1" t="s">
        <v>85</v>
      </c>
      <c r="F20" s="1">
        <v>18</v>
      </c>
    </row>
    <row r="21" spans="2:6" x14ac:dyDescent="0.2">
      <c r="B21" s="1" t="s">
        <v>86</v>
      </c>
      <c r="F21" s="1">
        <v>19</v>
      </c>
    </row>
    <row r="22" spans="2:6" x14ac:dyDescent="0.2">
      <c r="B22" s="1" t="s">
        <v>87</v>
      </c>
      <c r="F22" s="1">
        <v>20</v>
      </c>
    </row>
    <row r="23" spans="2:6" x14ac:dyDescent="0.2">
      <c r="B23" s="1" t="s">
        <v>88</v>
      </c>
    </row>
    <row r="24" spans="2:6" x14ac:dyDescent="0.2">
      <c r="B24" s="1" t="s">
        <v>89</v>
      </c>
    </row>
    <row r="25" spans="2:6" x14ac:dyDescent="0.2">
      <c r="B25" s="1" t="s">
        <v>90</v>
      </c>
    </row>
    <row r="26" spans="2:6" x14ac:dyDescent="0.2">
      <c r="B26" s="1" t="s">
        <v>91</v>
      </c>
    </row>
    <row r="27" spans="2:6" x14ac:dyDescent="0.2">
      <c r="B27" s="1" t="s">
        <v>92</v>
      </c>
    </row>
    <row r="28" spans="2:6" x14ac:dyDescent="0.2">
      <c r="B28" s="1" t="s">
        <v>93</v>
      </c>
    </row>
    <row r="29" spans="2:6" x14ac:dyDescent="0.2">
      <c r="B29" s="1" t="s">
        <v>94</v>
      </c>
    </row>
    <row r="30" spans="2:6" x14ac:dyDescent="0.2">
      <c r="B30" s="1" t="s">
        <v>95</v>
      </c>
    </row>
    <row r="31" spans="2:6" x14ac:dyDescent="0.2">
      <c r="B31" s="1" t="s">
        <v>96</v>
      </c>
    </row>
    <row r="32" spans="2:6" x14ac:dyDescent="0.2">
      <c r="B32" s="1" t="s">
        <v>97</v>
      </c>
    </row>
    <row r="33" spans="2:2" x14ac:dyDescent="0.2">
      <c r="B33" s="1" t="s">
        <v>98</v>
      </c>
    </row>
    <row r="34" spans="2:2" x14ac:dyDescent="0.2">
      <c r="B34" s="1" t="s">
        <v>99</v>
      </c>
    </row>
    <row r="35" spans="2:2" x14ac:dyDescent="0.2">
      <c r="B35" s="1" t="s">
        <v>100</v>
      </c>
    </row>
    <row r="36" spans="2:2" x14ac:dyDescent="0.2">
      <c r="B36" s="1" t="s">
        <v>101</v>
      </c>
    </row>
    <row r="37" spans="2:2" x14ac:dyDescent="0.2">
      <c r="B37" s="1" t="s">
        <v>102</v>
      </c>
    </row>
    <row r="38" spans="2:2" x14ac:dyDescent="0.2">
      <c r="B38" s="1" t="s">
        <v>103</v>
      </c>
    </row>
    <row r="39" spans="2:2" x14ac:dyDescent="0.2">
      <c r="B39" s="1" t="s">
        <v>104</v>
      </c>
    </row>
    <row r="40" spans="2:2" x14ac:dyDescent="0.2">
      <c r="B40" s="1" t="s">
        <v>105</v>
      </c>
    </row>
    <row r="41" spans="2:2" x14ac:dyDescent="0.2">
      <c r="B41" s="1" t="s">
        <v>106</v>
      </c>
    </row>
    <row r="42" spans="2:2" x14ac:dyDescent="0.2">
      <c r="B42" s="1" t="s">
        <v>107</v>
      </c>
    </row>
    <row r="43" spans="2:2" x14ac:dyDescent="0.2">
      <c r="B43" s="1" t="s">
        <v>108</v>
      </c>
    </row>
    <row r="44" spans="2:2" x14ac:dyDescent="0.2">
      <c r="B44" s="1" t="s">
        <v>109</v>
      </c>
    </row>
    <row r="45" spans="2:2" x14ac:dyDescent="0.2">
      <c r="B45" s="1" t="s">
        <v>110</v>
      </c>
    </row>
    <row r="46" spans="2:2" x14ac:dyDescent="0.2">
      <c r="B46" s="1" t="s">
        <v>111</v>
      </c>
    </row>
    <row r="47" spans="2:2" x14ac:dyDescent="0.2">
      <c r="B47" s="1" t="s">
        <v>112</v>
      </c>
    </row>
    <row r="48" spans="2:2" x14ac:dyDescent="0.2">
      <c r="B48" s="1" t="s">
        <v>113</v>
      </c>
    </row>
    <row r="49" spans="2:2" x14ac:dyDescent="0.2">
      <c r="B49" s="1" t="s">
        <v>114</v>
      </c>
    </row>
    <row r="50" spans="2:2" x14ac:dyDescent="0.2">
      <c r="B50" s="1" t="s">
        <v>115</v>
      </c>
    </row>
    <row r="51" spans="2:2" x14ac:dyDescent="0.2">
      <c r="B51" s="1" t="s">
        <v>116</v>
      </c>
    </row>
    <row r="52" spans="2:2" x14ac:dyDescent="0.2">
      <c r="B52" s="1" t="s">
        <v>117</v>
      </c>
    </row>
    <row r="53" spans="2:2" x14ac:dyDescent="0.2">
      <c r="B53" s="1" t="s">
        <v>118</v>
      </c>
    </row>
    <row r="54" spans="2:2" x14ac:dyDescent="0.2">
      <c r="B54" s="1" t="s">
        <v>119</v>
      </c>
    </row>
    <row r="55" spans="2:2" x14ac:dyDescent="0.2">
      <c r="B55" s="1" t="s">
        <v>120</v>
      </c>
    </row>
    <row r="56" spans="2:2" x14ac:dyDescent="0.2">
      <c r="B56" s="1" t="s">
        <v>121</v>
      </c>
    </row>
    <row r="57" spans="2:2" x14ac:dyDescent="0.2">
      <c r="B57" s="1" t="s">
        <v>122</v>
      </c>
    </row>
    <row r="58" spans="2:2" x14ac:dyDescent="0.2">
      <c r="B58" s="1" t="s">
        <v>123</v>
      </c>
    </row>
    <row r="59" spans="2:2" x14ac:dyDescent="0.2">
      <c r="B59" s="1" t="s">
        <v>124</v>
      </c>
    </row>
    <row r="60" spans="2:2" x14ac:dyDescent="0.2">
      <c r="B60" s="1" t="s">
        <v>125</v>
      </c>
    </row>
    <row r="61" spans="2:2" x14ac:dyDescent="0.2">
      <c r="B61" s="1" t="s">
        <v>126</v>
      </c>
    </row>
    <row r="62" spans="2:2" x14ac:dyDescent="0.2">
      <c r="B62" s="1" t="s">
        <v>127</v>
      </c>
    </row>
    <row r="63" spans="2:2" x14ac:dyDescent="0.2">
      <c r="B63" s="1" t="s">
        <v>128</v>
      </c>
    </row>
    <row r="64" spans="2:2" x14ac:dyDescent="0.2">
      <c r="B64" s="1" t="s">
        <v>129</v>
      </c>
    </row>
    <row r="65" spans="2:2" x14ac:dyDescent="0.2">
      <c r="B65" s="1" t="s">
        <v>130</v>
      </c>
    </row>
    <row r="66" spans="2:2" x14ac:dyDescent="0.2">
      <c r="B66" s="1" t="s">
        <v>131</v>
      </c>
    </row>
    <row r="67" spans="2:2" x14ac:dyDescent="0.2">
      <c r="B67" s="1" t="s">
        <v>132</v>
      </c>
    </row>
    <row r="68" spans="2:2" x14ac:dyDescent="0.2">
      <c r="B68" s="1" t="s">
        <v>133</v>
      </c>
    </row>
    <row r="69" spans="2:2" x14ac:dyDescent="0.2">
      <c r="B69" s="1" t="s">
        <v>134</v>
      </c>
    </row>
    <row r="70" spans="2:2" x14ac:dyDescent="0.2">
      <c r="B70" s="1" t="s">
        <v>135</v>
      </c>
    </row>
    <row r="71" spans="2:2" x14ac:dyDescent="0.2">
      <c r="B71" s="1" t="s">
        <v>136</v>
      </c>
    </row>
    <row r="72" spans="2:2" x14ac:dyDescent="0.2">
      <c r="B72" s="1" t="s">
        <v>137</v>
      </c>
    </row>
    <row r="73" spans="2:2" x14ac:dyDescent="0.2">
      <c r="B73" s="1" t="s">
        <v>138</v>
      </c>
    </row>
    <row r="74" spans="2:2" x14ac:dyDescent="0.2">
      <c r="B74" s="1" t="s">
        <v>139</v>
      </c>
    </row>
    <row r="75" spans="2:2" x14ac:dyDescent="0.2">
      <c r="B75" s="1" t="s">
        <v>140</v>
      </c>
    </row>
    <row r="76" spans="2:2" x14ac:dyDescent="0.2">
      <c r="B76" s="1" t="s">
        <v>141</v>
      </c>
    </row>
    <row r="77" spans="2:2" x14ac:dyDescent="0.2">
      <c r="B77" s="1" t="s">
        <v>142</v>
      </c>
    </row>
    <row r="78" spans="2:2" x14ac:dyDescent="0.2">
      <c r="B78" s="1" t="s">
        <v>143</v>
      </c>
    </row>
    <row r="79" spans="2:2" x14ac:dyDescent="0.2">
      <c r="B79" s="1" t="s">
        <v>144</v>
      </c>
    </row>
    <row r="80" spans="2:2" x14ac:dyDescent="0.2">
      <c r="B80" s="1" t="s">
        <v>145</v>
      </c>
    </row>
    <row r="81" spans="2:2" x14ac:dyDescent="0.2">
      <c r="B81" s="1" t="s">
        <v>146</v>
      </c>
    </row>
    <row r="82" spans="2:2" x14ac:dyDescent="0.2">
      <c r="B82" s="1" t="s">
        <v>147</v>
      </c>
    </row>
    <row r="83" spans="2:2" x14ac:dyDescent="0.2">
      <c r="B83" s="1" t="s">
        <v>148</v>
      </c>
    </row>
    <row r="84" spans="2:2" x14ac:dyDescent="0.2">
      <c r="B84" s="1" t="s">
        <v>149</v>
      </c>
    </row>
    <row r="85" spans="2:2" x14ac:dyDescent="0.2">
      <c r="B85" s="1" t="s">
        <v>150</v>
      </c>
    </row>
    <row r="86" spans="2:2" x14ac:dyDescent="0.2">
      <c r="B86" s="1" t="s">
        <v>151</v>
      </c>
    </row>
    <row r="87" spans="2:2" x14ac:dyDescent="0.2">
      <c r="B87" s="1" t="s">
        <v>152</v>
      </c>
    </row>
    <row r="88" spans="2:2" x14ac:dyDescent="0.2">
      <c r="B88" s="1" t="s">
        <v>153</v>
      </c>
    </row>
    <row r="89" spans="2:2" x14ac:dyDescent="0.2">
      <c r="B89" s="1" t="s">
        <v>154</v>
      </c>
    </row>
    <row r="90" spans="2:2" x14ac:dyDescent="0.2">
      <c r="B90" s="1" t="s">
        <v>155</v>
      </c>
    </row>
    <row r="91" spans="2:2" x14ac:dyDescent="0.2">
      <c r="B91" s="1" t="s">
        <v>156</v>
      </c>
    </row>
    <row r="92" spans="2:2" x14ac:dyDescent="0.2">
      <c r="B92" s="1" t="s">
        <v>157</v>
      </c>
    </row>
    <row r="93" spans="2:2" x14ac:dyDescent="0.2">
      <c r="B93" s="1" t="s">
        <v>158</v>
      </c>
    </row>
    <row r="94" spans="2:2" x14ac:dyDescent="0.2">
      <c r="B94" s="1" t="s">
        <v>159</v>
      </c>
    </row>
    <row r="95" spans="2:2" x14ac:dyDescent="0.2">
      <c r="B95" s="1" t="s">
        <v>160</v>
      </c>
    </row>
    <row r="96" spans="2:2" x14ac:dyDescent="0.2">
      <c r="B96" s="1" t="s">
        <v>161</v>
      </c>
    </row>
    <row r="97" spans="2:2" x14ac:dyDescent="0.2">
      <c r="B97" s="1" t="s">
        <v>162</v>
      </c>
    </row>
    <row r="98" spans="2:2" x14ac:dyDescent="0.2">
      <c r="B98" s="1" t="s">
        <v>163</v>
      </c>
    </row>
    <row r="99" spans="2:2" x14ac:dyDescent="0.2">
      <c r="B99" s="1" t="s">
        <v>164</v>
      </c>
    </row>
    <row r="100" spans="2:2" x14ac:dyDescent="0.2">
      <c r="B100" s="1" t="s">
        <v>165</v>
      </c>
    </row>
    <row r="101" spans="2:2" x14ac:dyDescent="0.2">
      <c r="B101" s="1" t="s">
        <v>166</v>
      </c>
    </row>
    <row r="102" spans="2:2" x14ac:dyDescent="0.2">
      <c r="B102" s="1" t="s">
        <v>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2019-09-25T19:11:09Z</dcterms:modified>
</cp:coreProperties>
</file>